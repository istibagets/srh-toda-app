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spondents (Table 1)" sheetId="1" state="visible" r:id="rId3"/>
    <sheet name="Scoring Rubrics" sheetId="2" state="visible" r:id="rId4"/>
    <sheet name="IT Experts" sheetId="3" state="visible" r:id="rId5"/>
    <sheet name="End-Users" sheetId="4" state="visible" r:id="rId6"/>
    <sheet name="APA Results - IT Experts" sheetId="5" state="visible" r:id="rId7"/>
    <sheet name="APA Results - End-Users" sheetId="6" state="visible" r:id="rId8"/>
    <sheet name="WCAG - IT Experts" sheetId="7" state="visible" r:id="rId9"/>
    <sheet name="APA Results - WCAG (IT Experts)" sheetId="8" state="visible" r:id="rId10"/>
    <sheet name="WCAG - End-Users" sheetId="9" state="visible" r:id="rId11"/>
    <sheet name="APA Results - WCAG (End-Users)" sheetId="10" state="visible" r:id="rId12"/>
    <sheet name="SUS - End-Users" sheetId="11" state="visible" r:id="rId13"/>
    <sheet name="APA Results - SUS (End-Users)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<sst xmlns="http://schemas.openxmlformats.org/spreadsheetml/2006/main" count="1161" uniqueCount="418">
  <si>
    <t xml:space="preserve">Table 1</t>
  </si>
  <si>
    <t xml:space="preserve">Distribution of Research Respondents</t>
  </si>
  <si>
    <t xml:space="preserve">Respondent Category</t>
  </si>
  <si>
    <t xml:space="preserve">Frequency</t>
  </si>
  <si>
    <t xml:space="preserve">Percentage</t>
  </si>
  <si>
    <t xml:space="preserve">Recorded in Workbook</t>
  </si>
  <si>
    <t xml:space="preserve">Check</t>
  </si>
  <si>
    <t xml:space="preserve">IT Experts</t>
  </si>
  <si>
    <t xml:space="preserve">TODA Officials (Super Admin/Admin)</t>
  </si>
  <si>
    <t xml:space="preserve">Official TODA Drivers</t>
  </si>
  <si>
    <t xml:space="preserve">Santa Rosa Homes Residents</t>
  </si>
  <si>
    <t xml:space="preserve">Total</t>
  </si>
  <si>
    <t xml:space="preserve">Note. N = 35. Percentage = frequency ÷ total respondents. "Recorded in Workbook" counts the respondent columns in the IT Experts (R1–R5) and End-Users (R1–R30: TODA Officials, Drivers, and Residents) sheets and should match the frequencies above.</t>
  </si>
  <si>
    <t xml:space="preserve">Scoring Rubrics and Rating Scales — SRH LINK-TODA (from Chapter 2 and Appendix B)</t>
  </si>
  <si>
    <t xml:space="preserve">Weighted means in the APA Results sheets are interpreted with these ranges. Edit a remark here and every table that uses it updates automatically.</t>
  </si>
  <si>
    <t xml:space="preserve">Table 2. Scoring Rubric for Functional Suitability</t>
  </si>
  <si>
    <t xml:space="preserve">Lower limit of weighted mean</t>
  </si>
  <si>
    <t xml:space="preserve">Range</t>
  </si>
  <si>
    <t xml:space="preserve">Qualitative Remarks</t>
  </si>
  <si>
    <t xml:space="preserve">Verbal Description</t>
  </si>
  <si>
    <t xml:space="preserve">4.21 – 5.00</t>
  </si>
  <si>
    <t xml:space="preserve">Highly Suitable</t>
  </si>
  <si>
    <t xml:space="preserve">The SRH LINK-TODA meets or exceeds all functional requirements with high accuracy, completeness, and efficiency.</t>
  </si>
  <si>
    <t xml:space="preserve">3.41 – 4.20</t>
  </si>
  <si>
    <t xml:space="preserve">Suitable</t>
  </si>
  <si>
    <t xml:space="preserve">The SRH LINK-TODA meets most functional requirements with a satisfactory level of accuracy, completeness, and efficiency.</t>
  </si>
  <si>
    <t xml:space="preserve">2.61 – 3.40</t>
  </si>
  <si>
    <t xml:space="preserve">Somewhat Suitable</t>
  </si>
  <si>
    <t xml:space="preserve">The SRH LINK-TODA meets some functional requirements but demonstrates low levels of accuracy, completeness, or efficiency.</t>
  </si>
  <si>
    <t xml:space="preserve">1.81 – 2.60</t>
  </si>
  <si>
    <t xml:space="preserve">Unsuitable</t>
  </si>
  <si>
    <t xml:space="preserve">The SRH LINK-TODA meets very few functional requirements, with low accuracy, completeness, and efficiency.</t>
  </si>
  <si>
    <t xml:space="preserve">1.00 – 1.80</t>
  </si>
  <si>
    <t xml:space="preserve">Highly Unsuitable</t>
  </si>
  <si>
    <t xml:space="preserve">The SRH LINK-TODA fails to meet most, if not all, functional requirements, with very low accuracy, completeness, and efficiency.</t>
  </si>
  <si>
    <t xml:space="preserve">Table 3. Scoring Rubric for Performance Efficiency</t>
  </si>
  <si>
    <t xml:space="preserve">Highly Efficient</t>
  </si>
  <si>
    <t xml:space="preserve">The SRH LINK-TODA’s performance is exceptional, meeting or exceeding all efficiency requirements. Users experience no delays or errors, and the system performs consistently well under all operating conditions.</t>
  </si>
  <si>
    <t xml:space="preserve">Efficient</t>
  </si>
  <si>
    <t xml:space="preserve">The SRH LINK-TODA’s performance is above average and meets most efficiency requirements. Users experience minimal delays or errors, and the system performs well under normal operating conditions.</t>
  </si>
  <si>
    <t xml:space="preserve">Less Efficient</t>
  </si>
  <si>
    <t xml:space="preserve">The SRH LINK-TODA’s performance is average, with room for improvement. Users may experience occasional delays or errors, but overall, the system functions adequately.</t>
  </si>
  <si>
    <t xml:space="preserve">Inefficient</t>
  </si>
  <si>
    <t xml:space="preserve">The SRH LINK-TODA’s performance is below average and fails to fully meet efficiency requirements. Users may experience delays or errors that affect productivity.</t>
  </si>
  <si>
    <t xml:space="preserve">Highly Inefficient</t>
  </si>
  <si>
    <t xml:space="preserve">The SRH LINK-TODA’s performance is significantly below expectations, frequently causing delays, errors, or failures that disrupt normal operation.</t>
  </si>
  <si>
    <t xml:space="preserve">Table 4. Scoring Rubric for Compatibility</t>
  </si>
  <si>
    <t xml:space="preserve">Highly Compatible</t>
  </si>
  <si>
    <t xml:space="preserve">The SRH LINK-TODA is fully compatible with other hardware or software and can seamlessly integrate without any issues or modifications.</t>
  </si>
  <si>
    <t xml:space="preserve">Compatible</t>
  </si>
  <si>
    <t xml:space="preserve">The SRH LINK-TODA can work with other hardware or software with minor adjustments or configurations.</t>
  </si>
  <si>
    <t xml:space="preserve">Somewhat Compatible</t>
  </si>
  <si>
    <t xml:space="preserve">The SRH LINK-TODA can work with other hardware or software, but requires significant adjustments or configurations.</t>
  </si>
  <si>
    <t xml:space="preserve">Less Compatible</t>
  </si>
  <si>
    <t xml:space="preserve">The SRH LINK-TODA struggles to integrate with other hardware or software and requires significant adjustments.</t>
  </si>
  <si>
    <t xml:space="preserve">Not Compatible</t>
  </si>
  <si>
    <t xml:space="preserve">The SRH LINK-TODA cannot work with other hardware or software and requires a complete redesign or replacement.</t>
  </si>
  <si>
    <t xml:space="preserve">Table 5. Scoring Rubric for Interaction Capability</t>
  </si>
  <si>
    <t xml:space="preserve">Highly Interactive</t>
  </si>
  <si>
    <t xml:space="preserve">Users can perform tasks intuitively and efficiently, with smooth system responses and clear, immediate feedback.</t>
  </si>
  <si>
    <t xml:space="preserve">Interactive</t>
  </si>
  <si>
    <t xml:space="preserve">Users can perform tasks with some guidance or minor delays; system feedback is generally adequate.</t>
  </si>
  <si>
    <t xml:space="preserve">Less Interactive</t>
  </si>
  <si>
    <t xml:space="preserve">Users face difficulties interacting with the system, with delays or unclear feedback reducing task efficiency.</t>
  </si>
  <si>
    <t xml:space="preserve">Poorly Interactive</t>
  </si>
  <si>
    <t xml:space="preserve">Users experience significant difficulties with delayed responses and confusing feedback.</t>
  </si>
  <si>
    <t xml:space="preserve">Non-Interactive</t>
  </si>
  <si>
    <t xml:space="preserve">Users cannot effectively interact with the system due to poor responsiveness, unclear instructions, or system errors.</t>
  </si>
  <si>
    <t xml:space="preserve">Table 6. Scoring Rubric for Reliability</t>
  </si>
  <si>
    <t xml:space="preserve">Highly Reliable</t>
  </si>
  <si>
    <t xml:space="preserve">The SRH LINK-TODA operates consistently without failures, delivering accurate, dependable outcomes under all conditions.</t>
  </si>
  <si>
    <t xml:space="preserve">Reliable</t>
  </si>
  <si>
    <t xml:space="preserve">The SRH LINK-TODA generally operates as expected, with only minor or occasional errors.</t>
  </si>
  <si>
    <t xml:space="preserve">Slightly Reliable</t>
  </si>
  <si>
    <t xml:space="preserve">The SRH LINK-TODA is prone to errors or interruptions, affecting performance and dependability.</t>
  </si>
  <si>
    <t xml:space="preserve">Unreliable</t>
  </si>
  <si>
    <t xml:space="preserve">The SRH LINK-TODA frequently experiences errors or interruptions, reducing overall dependability.</t>
  </si>
  <si>
    <t xml:space="preserve">Non-Reliable</t>
  </si>
  <si>
    <t xml:space="preserve">The SRH LINK-TODA frequently fails or produces inaccurate results, making it unreliable for its intended use.</t>
  </si>
  <si>
    <t xml:space="preserve">Table 7. Scoring Rubric for Security</t>
  </si>
  <si>
    <t xml:space="preserve">Strong Security</t>
  </si>
  <si>
    <t xml:space="preserve">The SRH LINK-TODA has multiple layers of security measures that provide comprehensive protection against unauthorized access, data breaches, and other threats. Security features are regularly updated and tested to ensure effectiveness.</t>
  </si>
  <si>
    <t xml:space="preserve">Adequate Security</t>
  </si>
  <si>
    <t xml:space="preserve">The SRH LINK-TODA has basic security measures that prevent the most common threats; however, some vulnerabilities may exist and require improvement.</t>
  </si>
  <si>
    <t xml:space="preserve">Weak Security</t>
  </si>
  <si>
    <t xml:space="preserve">The SRH LINK-TODA has significant security vulnerabilities, with gaps that may allow unauthorized access, data breaches, or other threats. Immediate improvements are needed.</t>
  </si>
  <si>
    <t xml:space="preserve">Very Weak Security</t>
  </si>
  <si>
    <t xml:space="preserve">The SRH LINK-TODA’s security measures are largely ineffective, leaving it vulnerable to breaches or data loss.</t>
  </si>
  <si>
    <t xml:space="preserve">No Security</t>
  </si>
  <si>
    <t xml:space="preserve">The SRH LINK-TODA has no effective security measures and is highly vulnerable to breaches and data loss. Urgent action is required.</t>
  </si>
  <si>
    <t xml:space="preserve">Table 8. Scoring Rubric for Maintainability</t>
  </si>
  <si>
    <t xml:space="preserve">Highly Maintainable</t>
  </si>
  <si>
    <t xml:space="preserve">The SRH LINK-TODA's backend codebase and architecture are excellently structured, allowing developers to easily execute updates, troubleshoot logs, and fix bugs without disruption.</t>
  </si>
  <si>
    <t xml:space="preserve">Maintainable</t>
  </si>
  <si>
    <t xml:space="preserve">The system's codebase is well-structured, allowing developers to execute routine updates and minor bug fixes with acceptable effort.</t>
  </si>
  <si>
    <t xml:space="preserve">Less Maintainable</t>
  </si>
  <si>
    <t xml:space="preserve">The system requires significant developer effort to diagnose backend issues or implement minor code updates, occasionally disrupting operations.</t>
  </si>
  <si>
    <t xml:space="preserve">Hardly Maintainable</t>
  </si>
  <si>
    <t xml:space="preserve">The system codebase is difficult to update or fix, requiring extensive downtime and excessive developer intervention.</t>
  </si>
  <si>
    <t xml:space="preserve">Not Maintainable</t>
  </si>
  <si>
    <t xml:space="preserve">The system's architecture is completely rigid; attempting to fix bugs or update code causes critical system failures.</t>
  </si>
  <si>
    <t xml:space="preserve">Table 9. Scoring Rubric for Flexibility</t>
  </si>
  <si>
    <t xml:space="preserve">Highly Flexible</t>
  </si>
  <si>
    <t xml:space="preserve">The SRH LINK-TODA easily adapts to new TODA operational rules, expanded geofence limits, or additional user groups without requiring major architectural overhauls.</t>
  </si>
  <si>
    <t xml:space="preserve">Flexible</t>
  </si>
  <si>
    <t xml:space="preserve">The system can adapt to most moderate changes in TODA rules or operational scope with only minor administrative configurations.</t>
  </si>
  <si>
    <t xml:space="preserve">Less Flexible</t>
  </si>
  <si>
    <t xml:space="preserve">The system struggles to accommodate changes in transport rules, requiring some manual developer adjustments to adapt to the new environment.</t>
  </si>
  <si>
    <t xml:space="preserve">Hardly Flexible</t>
  </si>
  <si>
    <t xml:space="preserve">The system is highly rigid; any change in operational rules or geofence expansion requires significant software redevelopment.</t>
  </si>
  <si>
    <t xml:space="preserve">Not Flexible</t>
  </si>
  <si>
    <t xml:space="preserve">The system cannot adapt to any changes in the environment or user requirements, completely limiting its future scalability.</t>
  </si>
  <si>
    <t xml:space="preserve">Table 10. Scoring Rubric for Safety</t>
  </si>
  <si>
    <t xml:space="preserve">Highly Safe</t>
  </si>
  <si>
    <t xml:space="preserve">The SRH LINK-TODA effectively prevents hazards, protects users and data, and functions securely under all conditions.</t>
  </si>
  <si>
    <t xml:space="preserve">Safe</t>
  </si>
  <si>
    <t xml:space="preserve">The SRH LINK-TODA is generally safe, with only minor risks that do not significantly affect users or data.</t>
  </si>
  <si>
    <t xml:space="preserve">Slightly Unsafe</t>
  </si>
  <si>
    <t xml:space="preserve">The SRH LINK-TODA presents noticeable safety risks that may potentially affect users or data.</t>
  </si>
  <si>
    <t xml:space="preserve">Unsafe</t>
  </si>
  <si>
    <t xml:space="preserve">The SRH LINK-TODA exposes users or data to significant hazards or risks, affecting reliability and functionality.</t>
  </si>
  <si>
    <t xml:space="preserve">Highly Unsafe</t>
  </si>
  <si>
    <t xml:space="preserve">The SRH LINK-TODA is unsafe and poses serious risks to users and data. Urgent corrective actions are required.</t>
  </si>
  <si>
    <t xml:space="preserve">Table 11. Scoring Rubric for Web Content Accessibility</t>
  </si>
  <si>
    <t xml:space="preserve">Scale</t>
  </si>
  <si>
    <t xml:space="preserve">Interpretation</t>
  </si>
  <si>
    <t xml:space="preserve">Description</t>
  </si>
  <si>
    <t xml:space="preserve">Highly Accessible</t>
  </si>
  <si>
    <t xml:space="preserve">The SRH LINK-TODA is perceived as fully compliant with web accessibility standards.</t>
  </si>
  <si>
    <t xml:space="preserve">Accessible</t>
  </si>
  <si>
    <t xml:space="preserve">The SRH LINK-TODA is perceived to have minor issues, but is generally accessible.</t>
  </si>
  <si>
    <t xml:space="preserve">Moderately Accessible</t>
  </si>
  <si>
    <t xml:space="preserve">The SRH LINK-TODA is perceived to have some accessibility issues.</t>
  </si>
  <si>
    <t xml:space="preserve">Slightly Accessible</t>
  </si>
  <si>
    <t xml:space="preserve">The SRH LINK-TODA is perceived to have major accessibility issues.</t>
  </si>
  <si>
    <t xml:space="preserve">Not Accessible</t>
  </si>
  <si>
    <t xml:space="preserve">The SRH LINK-TODA is perceived as unusable by users with disabilities.</t>
  </si>
  <si>
    <t xml:space="preserve">Appendix B, Part 1 — Rating Scale for Technical Evaluation (IT Experts)</t>
  </si>
  <si>
    <t xml:space="preserve">Highly Suitable/Efficient</t>
  </si>
  <si>
    <t xml:space="preserve">The system meets or exceeds all requirements with high accuracy and no errors.</t>
  </si>
  <si>
    <t xml:space="preserve">Suitable/Efficient</t>
  </si>
  <si>
    <t xml:space="preserve">The system meets most requirements satisfactorily with minimal delays.</t>
  </si>
  <si>
    <t xml:space="preserve">Moderately Suitable</t>
  </si>
  <si>
    <t xml:space="preserve">The system meets core requirements but requires minor improvements.</t>
  </si>
  <si>
    <t xml:space="preserve">Unsuitable/Inefficient</t>
  </si>
  <si>
    <t xml:space="preserve">The system meets some requirements but fails in accuracy or speed.</t>
  </si>
  <si>
    <t xml:space="preserve">The system fails to meet fundamental criteria with significant errors.</t>
  </si>
  <si>
    <t xml:space="preserve">Appendix B, Part 2 — Rating Scale for User Experience (End-Users)</t>
  </si>
  <si>
    <t xml:space="preserve">Strongly Agree</t>
  </si>
  <si>
    <t xml:space="preserve">You are completely satisfied with the system's performance.</t>
  </si>
  <si>
    <t xml:space="preserve">Agree</t>
  </si>
  <si>
    <t xml:space="preserve">You are generally satisfied with the system's performance.</t>
  </si>
  <si>
    <t xml:space="preserve">Neutral</t>
  </si>
  <si>
    <t xml:space="preserve">You are neither satisfied nor dissatisfied with the system.</t>
  </si>
  <si>
    <t xml:space="preserve">Disagree</t>
  </si>
  <si>
    <t xml:space="preserve">You found some aspects of the system difficult or unsatisfactory.</t>
  </si>
  <si>
    <t xml:space="preserve">Strongly Disagree</t>
  </si>
  <si>
    <t xml:space="preserve">You found the system completely unsatisfactory or difficult to use.</t>
  </si>
  <si>
    <t xml:space="preserve">Appendix B, Part 3 — Rating Scale for Accessibility (All Respondents)</t>
  </si>
  <si>
    <t xml:space="preserve">The system is perceived to be fully compliant with accessibility standards.</t>
  </si>
  <si>
    <t xml:space="preserve">The system is perceived to have minor issues but is generally accessible.</t>
  </si>
  <si>
    <t xml:space="preserve">The system is perceived to have some accessibility barriers present.</t>
  </si>
  <si>
    <t xml:space="preserve">The system is perceived to have major accessibility issues.</t>
  </si>
  <si>
    <t xml:space="preserve">The system is perceived as not usable for users with disabilities.</t>
  </si>
  <si>
    <t xml:space="preserve">Assessment on the Technical Aspect of the System (ISO/IEC 25010:2023) — For IT Experts</t>
  </si>
  <si>
    <t xml:space="preserve">Scale: 5 = Highly Suitable/Efficient (HS) | 4 = Suitable/Efficient (S) | 3 = Moderately Suitable (MS) | 2 = Unsuitable/Inefficient (U) | 1 = Highly Unsuitable (HU)</t>
  </si>
  <si>
    <t xml:space="preserve">Editable cells: yellow-shaded respondent score cells (R1–R5). Enter values 1–5 only. Sample data shown below. Add columns between R4 and R5 if respondents is greater than 5.</t>
  </si>
  <si>
    <t xml:space="preserve">Item No.</t>
  </si>
  <si>
    <t xml:space="preserve">Item Statement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</si>
  <si>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</si>
  <si>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</si>
  <si>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</si>
  <si>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</si>
  <si>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</si>
  <si>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Weighted Mean</t>
  </si>
  <si>
    <t xml:space="preserve">HS (5)</t>
  </si>
  <si>
    <t xml:space="preserve">S (4)</t>
  </si>
  <si>
    <t xml:space="preserve">MS (3)</t>
  </si>
  <si>
    <t xml:space="preserve">U (2)</t>
  </si>
  <si>
    <t xml:space="preserve">HU (1)</t>
  </si>
  <si>
    <t xml:space="preserve">Functional Suitability — The degree to which the system provides functions that meet stated and implied needs when used under specified conditions.</t>
  </si>
  <si>
    <t xml:space="preserve">The 35-meter geofencing triggers accurately log driver terminal entries and exits while deactivating coordinate tracking during active transit.</t>
  </si>
  <si>
    <t xml:space="preserve">The priority-based queue algorithm accurately sequences drivers in first-in, first-served order and immediately recovers dispatch positions upon cancellations.</t>
  </si>
  <si>
    <t xml:space="preserve">The TODA Admin and Super Admin dashboards successfully execute manual queue overrides, driver removals, and compliance verifications without corrupting the dispatch sequence.</t>
  </si>
  <si>
    <t xml:space="preserve">Category Weighted Mean — Functional Suitability</t>
  </si>
  <si>
    <t xml:space="preserve">Performance Efficiency — Relative to the number of resources used under stated conditions.</t>
  </si>
  <si>
    <t xml:space="preserve">The Laravel Reverb event-driven architecture broadcasts real-time map updates and queue transitions within the acceptable latency threshold.</t>
  </si>
  <si>
    <t xml:space="preserve">The MapLibre GL mapping engine renders hardware-accelerated vector map layers and driver positions smoothly on mobile devices.</t>
  </si>
  <si>
    <t xml:space="preserve">The backend database queries and WebSocket listeners consume minimal server resources during peak simulated traffic.</t>
  </si>
  <si>
    <t xml:space="preserve">Category Weighted Mean — Performance Efficiency</t>
  </si>
  <si>
    <t xml:space="preserve">Compatibility — The degree to which a software system can exchange information with other systems whilst sharing the same software and hardware.</t>
  </si>
  <si>
    <t xml:space="preserve">The Progressive Web Application built with the lonic Framework functions seamlessly across different mobile browsers and operating systems.</t>
  </si>
  <si>
    <t xml:space="preserve">The system integrates well with device-level HTML5 Geolocation APIs and background Web Push notification services.</t>
  </si>
  <si>
    <t xml:space="preserve">The user interface layout automatically adapts to varying mobile screen sizes and resolutions without visual breakage.</t>
  </si>
  <si>
    <t xml:space="preserve">Category Weighted Mean — Compatibility</t>
  </si>
  <si>
    <t xml:space="preserve">Interaction Capability — The degree to which a system can be interacted with by specified users to exchange information through the user interface to complete the intended task.</t>
  </si>
  <si>
    <t xml:space="preserve">The user interfaces for the passenger, driver, TODA admin, and super admin portals are intuitive and easy to navigate.</t>
  </si>
  <si>
    <t xml:space="preserve">The system provides clear and immediate visual and audio feedback upon successful actions and dispatch events.</t>
  </si>
  <si>
    <t xml:space="preserve">Input forms include proper validation and display clear, specific error messages when invalid data is entered.</t>
  </si>
  <si>
    <t xml:space="preserve">Category Weighted Mean — Interaction Capability</t>
  </si>
  <si>
    <t xml:space="preserve">Reliability — The degree to which the system performs specified functions under specified conditions for a specified period of time.</t>
  </si>
  <si>
    <t xml:space="preserve">The system securely encrypts and stores uploaded driver documents including MTOP certificates and driver licenses.</t>
  </si>
  <si>
    <t xml:space="preserve">Role-based access controls strictly prevent unauthorized users from viewing administrative dashboards and executing management actions.</t>
  </si>
  <si>
    <t xml:space="preserve">The REST API implements token-based authentication and route middleware to prevent unauthorized endpoint access and hijacked sessions.</t>
  </si>
  <si>
    <t xml:space="preserve">Category Weighted Mean — Reliability</t>
  </si>
  <si>
    <t xml:space="preserve">Maintainability — Refers to how well a system can be modified to improve, correct or adapt to changes in the environment as well as requirements.</t>
  </si>
  <si>
    <t xml:space="preserve">The decoupled codebase is well-structured, separating the Laravel REST API backend from the lonic Angular frontend for easy maintenance</t>
  </si>
  <si>
    <t xml:space="preserve">System logs, user activity logs, and audit trails are easily accessible for administrative troubleshooting.</t>
  </si>
  <si>
    <t xml:space="preserve">The modular architecture allows developers to calibrate specific parameters such as fare matrices and geofence boundaries independently.</t>
  </si>
  <si>
    <t xml:space="preserve">Category Weighted Mean — Maintainability</t>
  </si>
  <si>
    <t xml:space="preserve">Flexibility — The degree to which a product can be adapted to changes in its requirements, contexts of use or system environment.</t>
  </si>
  <si>
    <t xml:space="preserve">The system architecture can be easily adjusted to accommodate changes in TODA dispatching rules and geofence radius settings.</t>
  </si>
  <si>
    <t xml:space="preserve">The database structure and REST API can scale to support an expansion in subdivision coverage areas or additional transport terminals.</t>
  </si>
  <si>
    <t xml:space="preserve">The MapLibre GL map configuration allows switching tile providers and styling layers without modifying core application logic.</t>
  </si>
  <si>
    <t xml:space="preserve">Category Weighted Mean — Flexibility</t>
  </si>
  <si>
    <t xml:space="preserve">Safety — The degree to which a product avoids a state in which human life, health, property, or the environment is endangered.</t>
  </si>
  <si>
    <t xml:space="preserve">The system background tracking processes terminate upon trip completion to protect user location privacy and prevent unwarranted surveillance.</t>
  </si>
  <si>
    <t xml:space="preserve">The application deployment safeguards existing cooperative operational data and transaction history against accidental loss.</t>
  </si>
  <si>
    <t xml:space="preserve">The system includes emergency maintenance controls and automated fail-safes that protect organizational records during server updates.</t>
  </si>
  <si>
    <t xml:space="preserve">Category Weighted Mean — Safety</t>
  </si>
  <si>
    <t xml:space="preserve">OVERALL WEIGHTED MEAN / TOTAL FREQUENCY (All Items)</t>
  </si>
  <si>
    <t xml:space="preserve">Assessment on the Quality of Using the System — For End-Users</t>
  </si>
  <si>
    <t xml:space="preserve">Scale: 5 = Strongly Agree (SA) | 4 = Agree (A) | 3 = Neutral (N) | 2 = Disagree (D) | 1 = Strongly Disagree (SD)</t>
  </si>
  <si>
    <t xml:space="preserve">Editable cells: yellow-shaded respondent score cells (R1–R30). Enter values 1–5 only. Sample data shown below. Add columns between R29 and R30 if respondents is greater than 30.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</si>
  <si>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</si>
  <si>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</si>
  <si>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</si>
  <si>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</si>
  <si>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</si>
  <si>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</si>
  <si>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</si>
  <si>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</si>
  <si>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</si>
  <si>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</si>
  <si>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</si>
  <si>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</si>
  <si>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</si>
  <si>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</si>
  <si>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</si>
  <si>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</si>
  <si>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</si>
  <si>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</si>
  <si>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</si>
  <si>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</si>
  <si>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</si>
  <si>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</si>
  <si>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</si>
  <si>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</si>
  <si>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</si>
  <si>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SA (5)</t>
  </si>
  <si>
    <t xml:space="preserve">A (4)</t>
  </si>
  <si>
    <t xml:space="preserve">N (3)</t>
  </si>
  <si>
    <t xml:space="preserve">D (2)</t>
  </si>
  <si>
    <t xml:space="preserve">SD (1)</t>
  </si>
  <si>
    <t xml:space="preserve">The application accurately fulfills its intended role for my daily transport needs (booking rides, queuing at the terminal, or administrative monitoring).</t>
  </si>
  <si>
    <t xml:space="preserve">The live terminal queue and "Next-in-Line" status provide clear and accurate visibility of tricycle availability.</t>
  </si>
  <si>
    <t xml:space="preserve">The system allows me to easily access and review my personal activity records (trip history, fare breakdown, or TODA compliance logs).</t>
  </si>
  <si>
    <t xml:space="preserve">The Progressive Web Application loads quickly and operates smoothly on my smartphone without causing device sluggishness.</t>
  </si>
  <si>
    <t xml:space="preserve">Real-time updates (ride alerts, dispatch notifications, and queue position changes) appear without noticeable delay.</t>
  </si>
  <si>
    <t xml:space="preserve">The application runs efficiently in the background during active sessions without excessive battery consumption.</t>
  </si>
  <si>
    <t xml:space="preserve">The user interface (buttons, input fields, navigation tabs) is intuitive and easy to use without requiring technical training.</t>
  </si>
  <si>
    <t xml:space="preserve">The platform provides clear and instant on-screen feedback whenever I perform an action (e.g., booking a ride, accepting a dispatch, or uploading documents).</t>
  </si>
  <si>
    <t xml:space="preserve">The text size, layout, and visual contrast make it effortless to read instructions and understand what action to take next.</t>
  </si>
  <si>
    <t xml:space="preserve">The application remains stable and does not crash or freeze during active hailing and dispatching operations.</t>
  </si>
  <si>
    <t xml:space="preserve">The automated queue algorithm maintains strict fairness, properly managing turn-taking and queue recovery when rides are canceled.</t>
  </si>
  <si>
    <t xml:space="preserve">The system retains my current session and transaction state (queue slot or active ride request) even during brief cellular data or internet interruptions.</t>
  </si>
  <si>
    <t xml:space="preserve">Functional Suitability — The degree to which the system provides functions that meet stated and implied needs when used under specified conditions. (As Rated by IT Experts, N = 5)</t>
  </si>
  <si>
    <t xml:space="preserve">Highly Suitable/ Efficient (5)</t>
  </si>
  <si>
    <t xml:space="preserve">Suitable/ Efficient (4)</t>
  </si>
  <si>
    <t xml:space="preserve">Moderately Suitable (3)</t>
  </si>
  <si>
    <t xml:space="preserve">Unsuitable/ Inefficient (2)</t>
  </si>
  <si>
    <t xml:space="preserve">Highly Unsuitable (1)</t>
  </si>
  <si>
    <t xml:space="preserve">f</t>
  </si>
  <si>
    <t xml:space="preserve">%</t>
  </si>
  <si>
    <t xml:space="preserve">Category Weighted Mean</t>
  </si>
  <si>
    <t xml:space="preserve">Note. n = 5. Weighted mean = Σ(f × rating) ÷ n. Interpretation based on the scoring rubric for functional suitability: 4.21 – 5.00 = Highly Suitable; 3.41 – 4.20 = Suitable; 2.61 – 3.40 = Somewhat Suitable; 1.81 – 2.60 = Unsuitable; 1.00 – 1.80 = Highly Unsuitable.</t>
  </si>
  <si>
    <t xml:space="preserve">Table 2</t>
  </si>
  <si>
    <t xml:space="preserve">Performance Efficiency — Relative to the number of resources used under stated conditions. (As Rated by IT Experts, N = 5)</t>
  </si>
  <si>
    <t xml:space="preserve">Note. n = 5. Weighted mean = Σ(f × rating) ÷ n. Interpretation based on the scoring rubric for performance efficiency: 4.21 – 5.00 = Highly Efficient; 3.41 – 4.20 = Efficient; 2.61 – 3.40 = Less Efficient; 1.81 – 2.60 = Inefficient; 1.00 – 1.80 = Highly Inefficient.</t>
  </si>
  <si>
    <t xml:space="preserve">Table 3</t>
  </si>
  <si>
    <t xml:space="preserve">Compatibility — The degree to which a software system can exchange information with other systems whilst sharing the same software and hardware. (As Rated by IT Experts, N = 5)</t>
  </si>
  <si>
    <t xml:space="preserve">Note. n = 5. Weighted mean = Σ(f × rating) ÷ n. Interpretation based on the scoring rubric for compatibility: 4.21 – 5.00 = Highly Compatible; 3.41 – 4.20 = Compatible; 2.61 – 3.40 = Somewhat Compatible; 1.81 – 2.60 = Less Compatible; 1.00 – 1.80 = Not Compatible.</t>
  </si>
  <si>
    <t xml:space="preserve">Table 4</t>
  </si>
  <si>
    <t xml:space="preserve">Interaction Capability — The degree to which a system can be interacted with by specified users to exchange information through the user interface to complete the intended task. (As Rated by IT Experts, N = 5)</t>
  </si>
  <si>
    <t xml:space="preserve">Note. n = 5. Weighted mean = Σ(f × rating) ÷ n. Interpretation based on the scoring rubric for interaction capability: 4.21 – 5.00 = Highly Interactive; 3.41 – 4.20 = Interactive; 2.61 – 3.40 = Less Interactive; 1.81 – 2.60 = Poorly Interactive; 1.00 – 1.80 = Non-Interactive.</t>
  </si>
  <si>
    <t xml:space="preserve">Table 5</t>
  </si>
  <si>
    <t xml:space="preserve">Reliability — The degree to which the system performs specified functions under specified conditions for a specified period of time. (As Rated by IT Experts, N = 5)</t>
  </si>
  <si>
    <t xml:space="preserve">Note. n = 5. Weighted mean = Σ(f × rating) ÷ n. Interpretation based on the scoring rubric for reliability: 4.21 – 5.00 = Highly Reliable; 3.41 – 4.20 = Reliable; 2.61 – 3.40 = Slightly Reliable; 1.81 – 2.60 = Unreliable; 1.00 – 1.80 = Non-Reliable.</t>
  </si>
  <si>
    <t xml:space="preserve">Table 6</t>
  </si>
  <si>
    <t xml:space="preserve">Maintainability — Refers to how well a system can be modified to improve, correct or adapt to changes in the environment as well as requirements. (As Rated by IT Experts, N = 5)</t>
  </si>
  <si>
    <t xml:space="preserve">Note. n = 5. Weighted mean = Σ(f × rating) ÷ n. Interpretation based on the scoring rubric for maintainability: 4.21 – 5.00 = Highly Maintainable; 3.41 – 4.20 = Maintainable; 2.61 – 3.40 = Less Maintainable; 1.81 – 2.60 = Hardly Maintainable; 1.00 – 1.80 = Not Maintainable.</t>
  </si>
  <si>
    <t xml:space="preserve">Table 7</t>
  </si>
  <si>
    <t xml:space="preserve">Flexibility — The degree to which a product can be adapted to changes in its requirements, contexts of use or system environment. (As Rated by IT Experts, N = 5)</t>
  </si>
  <si>
    <t xml:space="preserve">Note. n = 5. Weighted mean = Σ(f × rating) ÷ n. Interpretation based on the scoring rubric for flexibility: 4.21 – 5.00 = Highly Flexible; 3.41 – 4.20 = Flexible; 2.61 – 3.40 = Less Flexible; 1.81 – 2.60 = Hardly Flexible; 1.00 – 1.80 = Not Flexible.</t>
  </si>
  <si>
    <t xml:space="preserve">Table 8</t>
  </si>
  <si>
    <t xml:space="preserve">Safety — The degree to which a product avoids a state in which human life, health, property, or the environment is endangered. (As Rated by IT Experts, N = 5)</t>
  </si>
  <si>
    <t xml:space="preserve">Note. n = 5. Weighted mean = Σ(f × rating) ÷ n. Interpretation based on the scoring rubric for safety: 4.21 – 5.00 = Highly Safe; 3.41 – 4.20 = Safe; 2.61 – 3.40 = Slightly Unsafe; 1.81 – 2.60 = Unsafe; 1.00 – 1.80 = Highly Unsafe.</t>
  </si>
  <si>
    <t xml:space="preserve">Table 9</t>
  </si>
  <si>
    <t xml:space="preserve">Summary of Weighted Means on the ISO/IEC 25010:2023 Quality Characteristics as Rated by IT Experts (N = 5)</t>
  </si>
  <si>
    <t xml:space="preserve">Criterion</t>
  </si>
  <si>
    <t xml:space="preserve">Functional Suitability</t>
  </si>
  <si>
    <t xml:space="preserve">Performance Efficiency</t>
  </si>
  <si>
    <t xml:space="preserve">Compatibility</t>
  </si>
  <si>
    <t xml:space="preserve">Interaction Capability</t>
  </si>
  <si>
    <t xml:space="preserve">Reliability</t>
  </si>
  <si>
    <t xml:space="preserve">Maintainability</t>
  </si>
  <si>
    <t xml:space="preserve">Flexibility</t>
  </si>
  <si>
    <t xml:space="preserve">Safety</t>
  </si>
  <si>
    <t xml:space="preserve">Overall Weighted Mean</t>
  </si>
  <si>
    <t xml:space="preserve">Note. n = 5. Weighted mean = Σ(f × rating) ÷ n. Each characteristic is interpreted with its own scoring rubric (see Scoring Rubrics sheet); the overall weighted mean uses the instrument rating scale: 4.21 – 5.00 = Highly Suitable/Efficient; 3.41 – 4.20 = Suitable/Efficient; 2.61 – 3.40 = Moderately Suitable; 1.81 – 2.60 = Unsuitable/Inefficient; 1.00 – 1.80 = Highly Unsuitable.</t>
  </si>
  <si>
    <t xml:space="preserve">Table 10</t>
  </si>
  <si>
    <t xml:space="preserve">Functional Suitability — The degree to which the system provides functions that meet stated and implied needs when used under specified conditions. (As Rated by End-Users, N = 30)</t>
  </si>
  <si>
    <t xml:space="preserve">Note:</t>
  </si>
  <si>
    <t xml:space="preserve">Strongly Agree (5)</t>
  </si>
  <si>
    <t xml:space="preserve">Agree (4)</t>
  </si>
  <si>
    <t xml:space="preserve">Neutral (3)</t>
  </si>
  <si>
    <t xml:space="preserve">Disagree (2)</t>
  </si>
  <si>
    <t xml:space="preserve">Strongly Disagree (1)</t>
  </si>
  <si>
    <t xml:space="preserve">Copy and paste these tables in word file for Chapter 3</t>
  </si>
  <si>
    <t xml:space="preserve">Note. n = 30. Weighted mean = Σ(f × rating) ÷ n. Interpretation based on the scoring rubric for functional suitability: 4.21 – 5.00 = Highly Suitable; 3.41 – 4.20 = Suitable; 2.61 – 3.40 = Somewhat Suitable; 1.81 – 2.60 = Unsuitable; 1.00 – 1.80 = Highly Unsuitable.</t>
  </si>
  <si>
    <t xml:space="preserve">Table 11</t>
  </si>
  <si>
    <t xml:space="preserve">Performance Efficiency — Relative to the number of resources used under stated conditions. (As Rated by End-Users, N = 30)</t>
  </si>
  <si>
    <t xml:space="preserve">Note. n = 30. Weighted mean = Σ(f × rating) ÷ n. Interpretation based on the scoring rubric for performance efficiency: 4.21 – 5.00 = Highly Efficient; 3.41 – 4.20 = Efficient; 2.61 – 3.40 = Less Efficient; 1.81 – 2.60 = Inefficient; 1.00 – 1.80 = Highly Inefficient.</t>
  </si>
  <si>
    <t xml:space="preserve">Table 12</t>
  </si>
  <si>
    <t xml:space="preserve">Interaction Capability — The degree to which a system can be interacted with by specified users to exchange information through the user interface to complete the intended task. (As Rated by End-Users, N = 30)</t>
  </si>
  <si>
    <t xml:space="preserve">Note. n = 30. Weighted mean = Σ(f × rating) ÷ n. Interpretation based on the scoring rubric for interaction capability: 4.21 – 5.00 = Highly Interactive; 3.41 – 4.20 = Interactive; 2.61 – 3.40 = Less Interactive; 1.81 – 2.60 = Poorly Interactive; 1.00 – 1.80 = Non-Interactive.</t>
  </si>
  <si>
    <t xml:space="preserve">Table 13</t>
  </si>
  <si>
    <t xml:space="preserve">Reliability — The degree to which the system performs specified functions under specified conditions for a specified period of time. (As Rated by End-Users, N = 30)</t>
  </si>
  <si>
    <t xml:space="preserve">Note. n = 30. Weighted mean = Σ(f × rating) ÷ n. Interpretation based on the scoring rubric for reliability: 4.21 – 5.00 = Highly Reliable; 3.41 – 4.20 = Reliable; 2.61 – 3.40 = Slightly Reliable; 1.81 – 2.60 = Unreliable; 1.00 – 1.80 = Non-Reliable.</t>
  </si>
  <si>
    <t xml:space="preserve">Table 14</t>
  </si>
  <si>
    <t xml:space="preserve">Summary of Weighted Means on the Selected ISO/IEC 25010:2023 Quality Characteristics as Rated by End-Users (N = 30)</t>
  </si>
  <si>
    <t xml:space="preserve">Note. n = 30. Weighted mean = Σ(f × rating) ÷ n. Each characteristic is interpreted with its own scoring rubric (see Scoring Rubrics sheet); the overall weighted mean uses the instrument rating scale: 4.21 – 5.00 = Strongly Agree; 3.41 – 4.20 = Agree; 2.61 – 3.40 = Neutral; 1.81 – 2.60 = Disagree; 1.00 – 1.80 = Strongly Disagree.</t>
  </si>
  <si>
    <t xml:space="preserve">Assessment on the Accessibility of the System (WCAG) — For IT Experts</t>
  </si>
  <si>
    <t xml:space="preserve">Scale: 5 = Highly Accessible | 4 = Accessible | 3 = Moderately Accessible | 2 = Slightly Accessible | 1 = Not Accessible</t>
  </si>
  <si>
    <t xml:space="preserve">HA (5)</t>
  </si>
  <si>
    <t xml:space="preserve">MA (3)</t>
  </si>
  <si>
    <t xml:space="preserve">SlA (2)</t>
  </si>
  <si>
    <t xml:space="preserve">NA (1)</t>
  </si>
  <si>
    <t xml:space="preserve">Perceivable — Information and user interface components must be presentable to users in ways they can perceive.</t>
  </si>
  <si>
    <t xml:space="preserve">All icons, buttons, and non-text visual elements have clear text labels or tooltips indicating their purpose.</t>
  </si>
  <si>
    <t xml:space="preserve">Informative graphics and interface images (e.g., terminal icons, vehicle markers) include clear, readable descriptions.</t>
  </si>
  <si>
    <t xml:space="preserve">Complex visual data (such as queue lists, dispatch tables, and earnings charts) are accompanied by easy-to-read text summaries.</t>
  </si>
  <si>
    <t xml:space="preserve">Category Weighted Mean — Perceivable</t>
  </si>
  <si>
    <t xml:space="preserve">Operable — User interface components and navigation must be operable.</t>
  </si>
  <si>
    <t xml:space="preserve">The web application can be easily operated using touch gestures, tapping, or keyboard/hardware navigation.</t>
  </si>
  <si>
    <t xml:space="preserve">The interface provides sufficient time to read alerts, review dispatch prompts, and complete actions without abrupt timeouts.</t>
  </si>
  <si>
    <t xml:space="preserve">Animated or auto-refreshing interface elements (such as pulsing indicators or queue tickers) do not distract or hinder navigation.</t>
  </si>
  <si>
    <t xml:space="preserve">The application avoids rapid visual flashes, bright blinking elements, or jarring animations that could cause visual strain or discomfort.</t>
  </si>
  <si>
    <t xml:space="preserve">Category Weighted Mean — Operable</t>
  </si>
  <si>
    <t xml:space="preserve">Understandable — Information and the operation of the user interface must be understandable.</t>
  </si>
  <si>
    <t xml:space="preserve">The text, announcements, and status labels (e.g., "You're Online", "In Queue", "En Route") are written in clear and simple language.</t>
  </si>
  <si>
    <t xml:space="preserve">Instructions for booking rides, entering the terminal queue, or uploading documents are easy to follow.</t>
  </si>
  <si>
    <t xml:space="preserve">Transport terms and labels (e.g., TODA, Terminal, Fare Proposal, MTOP) are appropriate and familiar to local users.</t>
  </si>
  <si>
    <t xml:space="preserve">System behavior, buttons, and screen transitions are consistent across all pages and tabs.</t>
  </si>
  <si>
    <t xml:space="preserve">Navigation bars, headers, map views, and color schemes remain uniform throughout the web app.</t>
  </si>
  <si>
    <t xml:space="preserve">System actions (such as tapping "Confirm &amp; Request Tricycle", "Go On Duty", or "Start Terminal Walk-In Ride") produce expected and logical results.</t>
  </si>
  <si>
    <t xml:space="preserve">Input forms and fields provide clear labels and placeholders (e.g., "Pickup Address (Block &amp; Lot)", "Destination", "Driver License Upload").</t>
  </si>
  <si>
    <t xml:space="preserve">System errors are clearly identified and explained (e.g., "Outside TODA Terminal geofence" when going on duty, or "Pickup Address Required").</t>
  </si>
  <si>
    <t xml:space="preserve">The system provides helpful suggestions to correct errors (e.g., "You need to be #1 in queue to start a terminal ride" or "Turn on device GPS location").</t>
  </si>
  <si>
    <t xml:space="preserve">Category Weighted Mean — Understandable</t>
  </si>
  <si>
    <t xml:space="preserve">Robust — Content must be robust enough to be interpreted reliably by a wide variety of user agents, including assistive technologies.</t>
  </si>
  <si>
    <t xml:space="preserve">The web application functions reliably across different mobile devices and web browsers (e.g., Google Chrome, Safari, Samsung Internet).</t>
  </si>
  <si>
    <t xml:space="preserve">The layout and interface display properly on various smartphone models and screen resolutions without graphical distortion.</t>
  </si>
  <si>
    <t xml:space="preserve">The system maintains stable functionality under varied operating conditions (e.g., switching between Wi-Fi and mobile data).</t>
  </si>
  <si>
    <t xml:space="preserve">The application text and interface controls can be properly read aloud by built-in mobile screen readers (e.g., Android TalkBack, iOS VoiceOver).</t>
  </si>
  <si>
    <t xml:space="preserve">Interactive controls (such as toggles, pop-up dialogs, and navigation drawers) are properly recognized and announced by accessibility tools.</t>
  </si>
  <si>
    <t xml:space="preserve">Live status updates (such as queue changes and incoming dispatch alerts) are actively announced to users relying on accessibility features.</t>
  </si>
  <si>
    <t xml:space="preserve">Category Weighted Mean — Robust</t>
  </si>
  <si>
    <t xml:space="preserve">Perceivable — Information and user interface components must be presentable to users in ways they can perceive. (As Rated by IT Experts, N = 5)</t>
  </si>
  <si>
    <t xml:space="preserve">Highly Accessible (5)</t>
  </si>
  <si>
    <t xml:space="preserve">Accessible (4)</t>
  </si>
  <si>
    <t xml:space="preserve">Moderately Accessible (3)</t>
  </si>
  <si>
    <t xml:space="preserve">Slightly Accessible (2)</t>
  </si>
  <si>
    <t xml:space="preserve">Not Accessible (1)</t>
  </si>
  <si>
    <t xml:space="preserve">Note. n = 5. Weighted mean = Σ(f × rating) ÷ n. Scale and interpretation: 4.21–5.00 = Highly Accessible (HA); 3.41–4.20 = Accessible (A); 2.61–3.40 = Moderately Accessible (MA); 1.81–2.60 = Slightly Accessible (SlA); 1.00–1.80 = Not Accessible (NA).</t>
  </si>
  <si>
    <t xml:space="preserve">Operable — User interface components and navigation must be operable. (As Rated by IT Experts, N = 5)</t>
  </si>
  <si>
    <t xml:space="preserve">Understandable — Information and the operation of the user interface must be understandable. (As Rated by IT Experts, N = 5)</t>
  </si>
  <si>
    <t xml:space="preserve">Robust — Content must be robust enough to be interpreted reliably by a wide variety of user agents, including assistive technologies. (As Rated by IT Experts, N = 5)</t>
  </si>
  <si>
    <t xml:space="preserve">Summary of Weighted Means on the WCAG Principles as Rated by IT Experts (N = 5)</t>
  </si>
  <si>
    <t xml:space="preserve">Perceivable</t>
  </si>
  <si>
    <t xml:space="preserve">Operable</t>
  </si>
  <si>
    <t xml:space="preserve">Understandable</t>
  </si>
  <si>
    <t xml:space="preserve">Robust</t>
  </si>
  <si>
    <t xml:space="preserve">Assessment on the Accessibility of the System (WCAG) — For End-Users</t>
  </si>
  <si>
    <t xml:space="preserve">Perceivable — Information and user interface components must be presentable to users in ways they can perceive. (As Rated by End-Users, N = 30)</t>
  </si>
  <si>
    <t xml:space="preserve">Note. n = 30. Weighted mean = Σ(f × rating) ÷ n. Scale and interpretation: 4.21–5.00 = Highly Accessible (HA); 3.41–4.20 = Accessible (A); 2.61–3.40 = Moderately Accessible (MA); 1.81–2.60 = Slightly Accessible (SlA); 1.00–1.80 = Not Accessible (NA).</t>
  </si>
  <si>
    <t xml:space="preserve">Operable — User interface components and navigation must be operable. (As Rated by End-Users, N = 30)</t>
  </si>
  <si>
    <t xml:space="preserve">Understandable — Information and the operation of the user interface must be understandable. (As Rated by End-Users, N = 30)</t>
  </si>
  <si>
    <t xml:space="preserve">Robust — Content must be robust enough to be interpreted reliably by a wide variety of user agents, including assistive technologies. (As Rated by End-Users, N = 30)</t>
  </si>
  <si>
    <t xml:space="preserve">Summary of Weighted Means on the WCAG Principles as Rated by End-Users (N = 30)</t>
  </si>
  <si>
    <t xml:space="preserve">System Usability Scale (SUS) — For End-Users</t>
  </si>
  <si>
    <t xml:space="preserve">Scale: 5 = Strongly Agree | 4 = Agree | 3 = Neutral | 2 = Disagree | 1 = Strongly Disagree</t>
  </si>
  <si>
    <t xml:space="preserve">Editable cells: yellow-shaded respondent score cells (R1–R30). Enter values 1–5 only. Sample data shown below. Reference: Brooke, J. (1996). SUS: A 'quick and dirty' usability scale.</t>
  </si>
  <si>
    <t xml:space="preserve">Mean</t>
  </si>
  <si>
    <t xml:space="preserve">System Usability Scale — 10 Standard Items</t>
  </si>
  <si>
    <t xml:space="preserve">I think that I would like to use this system frequently.</t>
  </si>
  <si>
    <t xml:space="preserve">I found the system unnecessarily complex.</t>
  </si>
  <si>
    <t xml:space="preserve">I thought the system was easy to use.</t>
  </si>
  <si>
    <t xml:space="preserve">I think that I would need the support of a technical person to be able to use this system.</t>
  </si>
  <si>
    <t xml:space="preserve">I found the various functions in this system were well integrated.</t>
  </si>
  <si>
    <t xml:space="preserve">I thought there was too much inconsistency in this system.</t>
  </si>
  <si>
    <t xml:space="preserve">I would imagine that most people would learn to use this system very quickly.</t>
  </si>
  <si>
    <t xml:space="preserve">I found the system very cumbersome to use.</t>
  </si>
  <si>
    <t xml:space="preserve">I felt very confident using the system.</t>
  </si>
  <si>
    <t xml:space="preserve">I needed to learn a lot of things before I could get going with this system.</t>
  </si>
  <si>
    <t xml:space="preserve">SUS Scoring: For odd-numbered items, item score = (rating − 1). For even-numbered items, item score = (5 − rating). Sum of the 10 item scores per respondent × 2.5 = SUS score (0–100).</t>
  </si>
  <si>
    <t xml:space="preserve">Respondent Coded Total (0–40)</t>
  </si>
  <si>
    <t xml:space="preserve">Respondent SUS Score (0–100)</t>
  </si>
  <si>
    <t xml:space="preserve">OVERALL SUS SCORE (Mean of Respondents, 0–100)</t>
  </si>
  <si>
    <t xml:space="preserve">Acceptability / Grade / Adjective Rating</t>
  </si>
  <si>
    <t xml:space="preserve">Note. Grade/adjective bands based on Bangor, Kortum, &amp; Miller (2009), "Determining What Individual SUS Scores Mean," and Brooke (1996). SUS scores of 68 and above are generally considered above average.</t>
  </si>
  <si>
    <t xml:space="preserve">System Usability Scale (SUS) Item Ratings (As Rated by End-Users, N = 30)</t>
  </si>
  <si>
    <t xml:space="preserve">Note. n = 30. Raw item means use the standard agreement scale: 4.21–5.00 = Strongly Agree (SA); 3.41–4.20 = Agree (A); 2.61–3.40 = Neutral (N); 1.81–2.60 = Disagree (D); 1.00–1.80 = Strongly Disagree (SD). Item 2, 4, 6, 8, and 10 are negatively worded and are reverse-scored in the SUS score calculation below.</t>
  </si>
  <si>
    <t xml:space="preserve">Overall System Usability Scale (SUS) Score (As Rated by End-Users, N = 30)</t>
  </si>
  <si>
    <t xml:space="preserve">Measure</t>
  </si>
  <si>
    <t xml:space="preserve">Value</t>
  </si>
  <si>
    <t xml:space="preserve">Overall SUS Score (0–100)</t>
  </si>
  <si>
    <t xml:space="preserve">Note. SUS scores range from 0 to 100. A mean score of 68 or above is generally considered above average (Bangor, Kortum, &amp; Miller, 2009; Brooke, 1996). Grade and adjective-rating bands follow Bangor et al. (2009), "Determining What Individual SUS Scores Mean: Adding an Adjective Rating Scale."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</si>
</sst>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General"/>
    <numFmt numFmtId="167" formatCode="0.00"/>
    <numFmt numFmtId="168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8"/>
      <name val="Arial"/>
      <family val="0"/>
      <charset val="1"/>
    </font>
    <font>
      <sz val="11"/>
      <color rgb="FFFF0000"/>
      <name val="Calibri"/>
      <family val="2"/>
      <charset val="1"/>
    </font>
    <font>
      <b val="true"/>
      <sz val="9"/>
      <name val="Arial"/>
      <family val="2"/>
      <charset val="1"/>
    </font>
    <font>
      <b val="true"/>
      <i val="true"/>
      <sz val="9"/>
      <name val="Arial"/>
      <family val="2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305496"/>
      </patternFill>
    </fill>
    <fill>
      <patternFill patternType="solid">
        <fgColor rgb="FF305496"/>
        <bgColor rgb="FF4472C4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30" hidden="false" customHeight="true" outlineLevel="0" collapsed="false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customFormat="false" ht="15" hidden="false" customHeight="true" outlineLevel="0" collapsed="false">
      <c r="A4" s="6" t="s">
        <v>7</v>
      </c>
      <c r="B4" s="7" t="n">
        <v>5</v>
      </c>
      <c r="C4" s="8" t="n">
        <f aca="false">B4/$B$8</f>
        <v>0.142857142857143</v>
      </c>
      <c r="D4" s="7" t="n">
        <f aca="false">COUNTA('IT Experts'!C5:G5)</f>
        <v>5</v>
      </c>
      <c r="E4" s="9" t="str">
        <f aca="false">IF(D4=B4,"OK","Check")</f>
        <v>OK</v>
      </c>
    </row>
    <row r="5" customFormat="false" ht="15" hidden="false" customHeight="true" outlineLevel="0" collapsed="false">
      <c r="A5" s="6" t="s">
        <v>8</v>
      </c>
      <c r="B5" s="7" t="n">
        <v>3</v>
      </c>
      <c r="C5" s="8" t="n">
        <f aca="false">B5/$B$8</f>
        <v>0.0857142857142857</v>
      </c>
      <c r="D5" s="10" t="n">
        <f aca="false">COUNTA('End-Users'!C5:AF5)</f>
        <v>30</v>
      </c>
      <c r="E5" s="10" t="str">
        <f aca="false">IF(D5=SUM(B5:B7),"OK","Check")</f>
        <v>OK</v>
      </c>
    </row>
    <row r="6" customFormat="false" ht="15" hidden="false" customHeight="true" outlineLevel="0" collapsed="false">
      <c r="A6" s="6" t="s">
        <v>9</v>
      </c>
      <c r="B6" s="7" t="n">
        <v>12</v>
      </c>
      <c r="C6" s="8" t="n">
        <f aca="false">B6/$B$8</f>
        <v>0.342857142857143</v>
      </c>
      <c r="D6" s="10"/>
      <c r="E6" s="10"/>
    </row>
    <row r="7" customFormat="false" ht="15" hidden="false" customHeight="true" outlineLevel="0" collapsed="false">
      <c r="A7" s="6" t="s">
        <v>10</v>
      </c>
      <c r="B7" s="7" t="n">
        <v>15</v>
      </c>
      <c r="C7" s="8" t="n">
        <f aca="false">B7/$B$8</f>
        <v>0.428571428571429</v>
      </c>
      <c r="D7" s="10"/>
      <c r="E7" s="10"/>
    </row>
    <row r="8" customFormat="false" ht="15" hidden="false" customHeight="true" outlineLevel="0" collapsed="false">
      <c r="A8" s="11" t="s">
        <v>11</v>
      </c>
      <c r="B8" s="12" t="n">
        <f aca="false">SUM(B4:B7)</f>
        <v>35</v>
      </c>
      <c r="C8" s="13" t="n">
        <f aca="false">SUM(C4:C7)</f>
        <v>1</v>
      </c>
      <c r="D8" s="12" t="n">
        <f aca="false">D4+D5</f>
        <v>35</v>
      </c>
      <c r="E8" s="12" t="str">
        <f aca="false">IF(D8=B8,"OK","Check")</f>
        <v>OK</v>
      </c>
    </row>
    <row r="9" customFormat="false" ht="42" hidden="false" customHeight="true" outlineLevel="0" collapsed="false">
      <c r="A9" s="14" t="s">
        <v>12</v>
      </c>
      <c r="B9" s="14"/>
      <c r="C9" s="14"/>
      <c r="D9" s="14"/>
      <c r="E9" s="14"/>
    </row>
  </sheetData>
  <mergeCells count="3">
    <mergeCell ref="D5:D7"/>
    <mergeCell ref="E5:E7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00"/>
  </cols>
  <sheetData>
    <row r="1" customFormat="false" ht="15.75" hidden="false" customHeight="true" outlineLevel="0" collapsed="false">
      <c r="A1" s="15" t="s">
        <v>13</v>
      </c>
    </row>
    <row r="2" customFormat="false" ht="15" hidden="false" customHeight="true" outlineLevel="0" collapsed="false">
      <c r="A2" s="16" t="s">
        <v>14</v>
      </c>
    </row>
    <row r="4" customFormat="false" ht="15" hidden="false" customHeight="true" outlineLevel="0" collapsed="false">
      <c r="A4" s="2" t="s">
        <v>15</v>
      </c>
    </row>
    <row r="5" customFormat="false" ht="30" hidden="false" customHeight="true" outlineLevel="0" collapsed="false">
      <c r="A5" s="17" t="s">
        <v>16</v>
      </c>
      <c r="B5" s="17" t="s">
        <v>17</v>
      </c>
      <c r="C5" s="17" t="s">
        <v>18</v>
      </c>
      <c r="D5" s="17" t="s">
        <v>19</v>
      </c>
    </row>
    <row r="6" customFormat="false" ht="27.75" hidden="false" customHeight="true" outlineLevel="0" collapsed="false">
      <c r="A6" s="18" t="n">
        <v>4.21</v>
      </c>
      <c r="B6" s="19" t="s">
        <v>20</v>
      </c>
      <c r="C6" s="20" t="s">
        <v>21</v>
      </c>
      <c r="D6" s="21" t="s">
        <v>22</v>
      </c>
    </row>
    <row r="7" customFormat="false" ht="27.75" hidden="false" customHeight="true" outlineLevel="0" collapsed="false">
      <c r="A7" s="18" t="n">
        <v>3.41</v>
      </c>
      <c r="B7" s="19" t="s">
        <v>23</v>
      </c>
      <c r="C7" s="20" t="s">
        <v>24</v>
      </c>
      <c r="D7" s="21" t="s">
        <v>25</v>
      </c>
    </row>
    <row r="8" customFormat="false" ht="27.75" hidden="false" customHeight="true" outlineLevel="0" collapsed="false">
      <c r="A8" s="18" t="n">
        <v>2.61</v>
      </c>
      <c r="B8" s="19" t="s">
        <v>26</v>
      </c>
      <c r="C8" s="20" t="s">
        <v>27</v>
      </c>
      <c r="D8" s="21" t="s">
        <v>28</v>
      </c>
    </row>
    <row r="9" customFormat="false" ht="27.75" hidden="false" customHeight="true" outlineLevel="0" collapsed="false">
      <c r="A9" s="18" t="n">
        <v>1.81</v>
      </c>
      <c r="B9" s="19" t="s">
        <v>29</v>
      </c>
      <c r="C9" s="20" t="s">
        <v>30</v>
      </c>
      <c r="D9" s="21" t="s">
        <v>31</v>
      </c>
    </row>
    <row r="10" customFormat="false" ht="27.75" hidden="false" customHeight="true" outlineLevel="0" collapsed="false">
      <c r="A10" s="18" t="n">
        <v>1</v>
      </c>
      <c r="B10" s="19" t="s">
        <v>32</v>
      </c>
      <c r="C10" s="20" t="s">
        <v>33</v>
      </c>
      <c r="D10" s="21" t="s">
        <v>34</v>
      </c>
    </row>
    <row r="12" customFormat="false" ht="15" hidden="false" customHeight="true" outlineLevel="0" collapsed="false">
      <c r="A12" s="2" t="s">
        <v>35</v>
      </c>
    </row>
    <row r="13" customFormat="false" ht="30" hidden="false" customHeight="true" outlineLevel="0" collapsed="false">
      <c r="A13" s="17" t="s">
        <v>16</v>
      </c>
      <c r="B13" s="17" t="s">
        <v>17</v>
      </c>
      <c r="C13" s="17" t="s">
        <v>18</v>
      </c>
      <c r="D13" s="17" t="s">
        <v>19</v>
      </c>
    </row>
    <row r="14" customFormat="false" ht="42" hidden="false" customHeight="true" outlineLevel="0" collapsed="false">
      <c r="A14" s="18" t="n">
        <v>4.21</v>
      </c>
      <c r="B14" s="19" t="s">
        <v>20</v>
      </c>
      <c r="C14" s="20" t="s">
        <v>36</v>
      </c>
      <c r="D14" s="21" t="s">
        <v>37</v>
      </c>
    </row>
    <row r="15" customFormat="false" ht="42" hidden="false" customHeight="true" outlineLevel="0" collapsed="false">
      <c r="A15" s="18" t="n">
        <v>3.41</v>
      </c>
      <c r="B15" s="19" t="s">
        <v>23</v>
      </c>
      <c r="C15" s="20" t="s">
        <v>38</v>
      </c>
      <c r="D15" s="21" t="s">
        <v>39</v>
      </c>
    </row>
    <row r="16" customFormat="false" ht="27.75" hidden="false" customHeight="true" outlineLevel="0" collapsed="false">
      <c r="A16" s="18" t="n">
        <v>2.61</v>
      </c>
      <c r="B16" s="19" t="s">
        <v>26</v>
      </c>
      <c r="C16" s="20" t="s">
        <v>40</v>
      </c>
      <c r="D16" s="21" t="s">
        <v>41</v>
      </c>
    </row>
    <row r="17" customFormat="false" ht="27.75" hidden="false" customHeight="true" outlineLevel="0" collapsed="false">
      <c r="A17" s="18" t="n">
        <v>1.81</v>
      </c>
      <c r="B17" s="19" t="s">
        <v>29</v>
      </c>
      <c r="C17" s="20" t="s">
        <v>42</v>
      </c>
      <c r="D17" s="21" t="s">
        <v>43</v>
      </c>
    </row>
    <row r="18" customFormat="false" ht="27.75" hidden="false" customHeight="true" outlineLevel="0" collapsed="false">
      <c r="A18" s="18" t="n">
        <v>1</v>
      </c>
      <c r="B18" s="19" t="s">
        <v>32</v>
      </c>
      <c r="C18" s="20" t="s">
        <v>44</v>
      </c>
      <c r="D18" s="21" t="s">
        <v>45</v>
      </c>
    </row>
    <row r="20" customFormat="false" ht="15" hidden="false" customHeight="true" outlineLevel="0" collapsed="false">
      <c r="A20" s="2" t="s">
        <v>46</v>
      </c>
    </row>
    <row r="21" customFormat="false" ht="30" hidden="false" customHeight="true" outlineLevel="0" collapsed="false">
      <c r="A21" s="17" t="s">
        <v>16</v>
      </c>
      <c r="B21" s="17" t="s">
        <v>17</v>
      </c>
      <c r="C21" s="17" t="s">
        <v>18</v>
      </c>
      <c r="D21" s="17" t="s">
        <v>19</v>
      </c>
    </row>
    <row r="22" customFormat="false" ht="27.75" hidden="false" customHeight="true" outlineLevel="0" collapsed="false">
      <c r="A22" s="18" t="n">
        <v>4.21</v>
      </c>
      <c r="B22" s="19" t="s">
        <v>20</v>
      </c>
      <c r="C22" s="20" t="s">
        <v>47</v>
      </c>
      <c r="D22" s="21" t="s">
        <v>48</v>
      </c>
    </row>
    <row r="23" customFormat="false" ht="27.75" hidden="false" customHeight="true" outlineLevel="0" collapsed="false">
      <c r="A23" s="18" t="n">
        <v>3.41</v>
      </c>
      <c r="B23" s="19" t="s">
        <v>23</v>
      </c>
      <c r="C23" s="20" t="s">
        <v>49</v>
      </c>
      <c r="D23" s="21" t="s">
        <v>50</v>
      </c>
    </row>
    <row r="24" customFormat="false" ht="27.75" hidden="false" customHeight="true" outlineLevel="0" collapsed="false">
      <c r="A24" s="18" t="n">
        <v>2.61</v>
      </c>
      <c r="B24" s="19" t="s">
        <v>26</v>
      </c>
      <c r="C24" s="20" t="s">
        <v>51</v>
      </c>
      <c r="D24" s="21" t="s">
        <v>52</v>
      </c>
    </row>
    <row r="25" customFormat="false" ht="27.75" hidden="false" customHeight="true" outlineLevel="0" collapsed="false">
      <c r="A25" s="18" t="n">
        <v>1.81</v>
      </c>
      <c r="B25" s="19" t="s">
        <v>29</v>
      </c>
      <c r="C25" s="20" t="s">
        <v>53</v>
      </c>
      <c r="D25" s="21" t="s">
        <v>54</v>
      </c>
    </row>
    <row r="26" customFormat="false" ht="27.75" hidden="false" customHeight="true" outlineLevel="0" collapsed="false">
      <c r="A26" s="18" t="n">
        <v>1</v>
      </c>
      <c r="B26" s="19" t="s">
        <v>32</v>
      </c>
      <c r="C26" s="20" t="s">
        <v>55</v>
      </c>
      <c r="D26" s="21" t="s">
        <v>56</v>
      </c>
    </row>
    <row r="28" customFormat="false" ht="15" hidden="false" customHeight="true" outlineLevel="0" collapsed="false">
      <c r="A28" s="2" t="s">
        <v>57</v>
      </c>
    </row>
    <row r="29" customFormat="false" ht="30" hidden="false" customHeight="true" outlineLevel="0" collapsed="false">
      <c r="A29" s="17" t="s">
        <v>16</v>
      </c>
      <c r="B29" s="17" t="s">
        <v>17</v>
      </c>
      <c r="C29" s="17" t="s">
        <v>18</v>
      </c>
      <c r="D29" s="17" t="s">
        <v>19</v>
      </c>
    </row>
    <row r="30" customFormat="false" ht="27.75" hidden="false" customHeight="true" outlineLevel="0" collapsed="false">
      <c r="A30" s="18" t="n">
        <v>4.21</v>
      </c>
      <c r="B30" s="19" t="s">
        <v>20</v>
      </c>
      <c r="C30" s="20" t="s">
        <v>58</v>
      </c>
      <c r="D30" s="21" t="s">
        <v>59</v>
      </c>
    </row>
    <row r="31" customFormat="false" ht="27.75" hidden="false" customHeight="true" outlineLevel="0" collapsed="false">
      <c r="A31" s="18" t="n">
        <v>3.41</v>
      </c>
      <c r="B31" s="19" t="s">
        <v>23</v>
      </c>
      <c r="C31" s="20" t="s">
        <v>60</v>
      </c>
      <c r="D31" s="21" t="s">
        <v>61</v>
      </c>
    </row>
    <row r="32" customFormat="false" ht="27.75" hidden="false" customHeight="true" outlineLevel="0" collapsed="false">
      <c r="A32" s="18" t="n">
        <v>2.61</v>
      </c>
      <c r="B32" s="19" t="s">
        <v>26</v>
      </c>
      <c r="C32" s="20" t="s">
        <v>62</v>
      </c>
      <c r="D32" s="21" t="s">
        <v>63</v>
      </c>
    </row>
    <row r="33" customFormat="false" ht="18" hidden="false" customHeight="true" outlineLevel="0" collapsed="false">
      <c r="A33" s="18" t="n">
        <v>1.81</v>
      </c>
      <c r="B33" s="19" t="s">
        <v>29</v>
      </c>
      <c r="C33" s="20" t="s">
        <v>64</v>
      </c>
      <c r="D33" s="21" t="s">
        <v>65</v>
      </c>
    </row>
    <row r="34" customFormat="false" ht="27.75" hidden="false" customHeight="true" outlineLevel="0" collapsed="false">
      <c r="A34" s="18" t="n">
        <v>1</v>
      </c>
      <c r="B34" s="19" t="s">
        <v>32</v>
      </c>
      <c r="C34" s="20" t="s">
        <v>66</v>
      </c>
      <c r="D34" s="21" t="s">
        <v>67</v>
      </c>
    </row>
    <row r="36" customFormat="false" ht="15" hidden="false" customHeight="true" outlineLevel="0" collapsed="false">
      <c r="A36" s="2" t="s">
        <v>68</v>
      </c>
    </row>
    <row r="37" customFormat="false" ht="30" hidden="false" customHeight="true" outlineLevel="0" collapsed="false">
      <c r="A37" s="17" t="s">
        <v>16</v>
      </c>
      <c r="B37" s="17" t="s">
        <v>17</v>
      </c>
      <c r="C37" s="17" t="s">
        <v>18</v>
      </c>
      <c r="D37" s="17" t="s">
        <v>19</v>
      </c>
    </row>
    <row r="38" customFormat="false" ht="27.75" hidden="false" customHeight="true" outlineLevel="0" collapsed="false">
      <c r="A38" s="18" t="n">
        <v>4.21</v>
      </c>
      <c r="B38" s="19" t="s">
        <v>20</v>
      </c>
      <c r="C38" s="20" t="s">
        <v>69</v>
      </c>
      <c r="D38" s="21" t="s">
        <v>70</v>
      </c>
    </row>
    <row r="39" customFormat="false" ht="18" hidden="false" customHeight="true" outlineLevel="0" collapsed="false">
      <c r="A39" s="18" t="n">
        <v>3.41</v>
      </c>
      <c r="B39" s="19" t="s">
        <v>23</v>
      </c>
      <c r="C39" s="20" t="s">
        <v>71</v>
      </c>
      <c r="D39" s="21" t="s">
        <v>72</v>
      </c>
    </row>
    <row r="40" customFormat="false" ht="27.75" hidden="false" customHeight="true" outlineLevel="0" collapsed="false">
      <c r="A40" s="18" t="n">
        <v>2.61</v>
      </c>
      <c r="B40" s="19" t="s">
        <v>26</v>
      </c>
      <c r="C40" s="20" t="s">
        <v>73</v>
      </c>
      <c r="D40" s="21" t="s">
        <v>74</v>
      </c>
    </row>
    <row r="41" customFormat="false" ht="27.75" hidden="false" customHeight="true" outlineLevel="0" collapsed="false">
      <c r="A41" s="18" t="n">
        <v>1.81</v>
      </c>
      <c r="B41" s="19" t="s">
        <v>29</v>
      </c>
      <c r="C41" s="20" t="s">
        <v>75</v>
      </c>
      <c r="D41" s="21" t="s">
        <v>76</v>
      </c>
    </row>
    <row r="42" customFormat="false" ht="27.75" hidden="false" customHeight="true" outlineLevel="0" collapsed="false">
      <c r="A42" s="18" t="n">
        <v>1</v>
      </c>
      <c r="B42" s="19" t="s">
        <v>32</v>
      </c>
      <c r="C42" s="20" t="s">
        <v>77</v>
      </c>
      <c r="D42" s="21" t="s">
        <v>78</v>
      </c>
    </row>
    <row r="44" customFormat="false" ht="15" hidden="false" customHeight="true" outlineLevel="0" collapsed="false">
      <c r="A44" s="2" t="s">
        <v>79</v>
      </c>
    </row>
    <row r="45" customFormat="false" ht="30" hidden="false" customHeight="true" outlineLevel="0" collapsed="false">
      <c r="A45" s="17" t="s">
        <v>16</v>
      </c>
      <c r="B45" s="17" t="s">
        <v>17</v>
      </c>
      <c r="C45" s="17" t="s">
        <v>18</v>
      </c>
      <c r="D45" s="17" t="s">
        <v>19</v>
      </c>
    </row>
    <row r="46" customFormat="false" ht="42" hidden="false" customHeight="true" outlineLevel="0" collapsed="false">
      <c r="A46" s="18" t="n">
        <v>4.21</v>
      </c>
      <c r="B46" s="19" t="s">
        <v>20</v>
      </c>
      <c r="C46" s="20" t="s">
        <v>80</v>
      </c>
      <c r="D46" s="21" t="s">
        <v>81</v>
      </c>
    </row>
    <row r="47" customFormat="false" ht="27.75" hidden="false" customHeight="true" outlineLevel="0" collapsed="false">
      <c r="A47" s="18" t="n">
        <v>3.41</v>
      </c>
      <c r="B47" s="19" t="s">
        <v>23</v>
      </c>
      <c r="C47" s="20" t="s">
        <v>82</v>
      </c>
      <c r="D47" s="21" t="s">
        <v>83</v>
      </c>
    </row>
    <row r="48" customFormat="false" ht="27.75" hidden="false" customHeight="true" outlineLevel="0" collapsed="false">
      <c r="A48" s="18" t="n">
        <v>2.61</v>
      </c>
      <c r="B48" s="19" t="s">
        <v>26</v>
      </c>
      <c r="C48" s="20" t="s">
        <v>84</v>
      </c>
      <c r="D48" s="21" t="s">
        <v>85</v>
      </c>
    </row>
    <row r="49" customFormat="false" ht="27.75" hidden="false" customHeight="true" outlineLevel="0" collapsed="false">
      <c r="A49" s="18" t="n">
        <v>1.81</v>
      </c>
      <c r="B49" s="19" t="s">
        <v>29</v>
      </c>
      <c r="C49" s="20" t="s">
        <v>86</v>
      </c>
      <c r="D49" s="21" t="s">
        <v>87</v>
      </c>
    </row>
    <row r="50" customFormat="false" ht="27.75" hidden="false" customHeight="true" outlineLevel="0" collapsed="false">
      <c r="A50" s="18" t="n">
        <v>1</v>
      </c>
      <c r="B50" s="19" t="s">
        <v>32</v>
      </c>
      <c r="C50" s="20" t="s">
        <v>88</v>
      </c>
      <c r="D50" s="21" t="s">
        <v>89</v>
      </c>
    </row>
    <row r="52" customFormat="false" ht="15" hidden="false" customHeight="true" outlineLevel="0" collapsed="false">
      <c r="A52" s="2" t="s">
        <v>90</v>
      </c>
    </row>
    <row r="53" customFormat="false" ht="30" hidden="false" customHeight="true" outlineLevel="0" collapsed="false">
      <c r="A53" s="17" t="s">
        <v>16</v>
      </c>
      <c r="B53" s="17" t="s">
        <v>17</v>
      </c>
      <c r="C53" s="17" t="s">
        <v>18</v>
      </c>
      <c r="D53" s="17" t="s">
        <v>19</v>
      </c>
    </row>
    <row r="54" customFormat="false" ht="27.75" hidden="false" customHeight="true" outlineLevel="0" collapsed="false">
      <c r="A54" s="18" t="n">
        <v>4.21</v>
      </c>
      <c r="B54" s="19" t="s">
        <v>20</v>
      </c>
      <c r="C54" s="20" t="s">
        <v>91</v>
      </c>
      <c r="D54" s="21" t="s">
        <v>92</v>
      </c>
    </row>
    <row r="55" customFormat="false" ht="27.75" hidden="false" customHeight="true" outlineLevel="0" collapsed="false">
      <c r="A55" s="18" t="n">
        <v>3.41</v>
      </c>
      <c r="B55" s="19" t="s">
        <v>23</v>
      </c>
      <c r="C55" s="20" t="s">
        <v>93</v>
      </c>
      <c r="D55" s="21" t="s">
        <v>94</v>
      </c>
    </row>
    <row r="56" customFormat="false" ht="27.75" hidden="false" customHeight="true" outlineLevel="0" collapsed="false">
      <c r="A56" s="18" t="n">
        <v>2.61</v>
      </c>
      <c r="B56" s="19" t="s">
        <v>26</v>
      </c>
      <c r="C56" s="20" t="s">
        <v>95</v>
      </c>
      <c r="D56" s="21" t="s">
        <v>96</v>
      </c>
    </row>
    <row r="57" customFormat="false" ht="27.75" hidden="false" customHeight="true" outlineLevel="0" collapsed="false">
      <c r="A57" s="18" t="n">
        <v>1.81</v>
      </c>
      <c r="B57" s="19" t="s">
        <v>29</v>
      </c>
      <c r="C57" s="20" t="s">
        <v>97</v>
      </c>
      <c r="D57" s="21" t="s">
        <v>98</v>
      </c>
    </row>
    <row r="58" customFormat="false" ht="27.75" hidden="false" customHeight="true" outlineLevel="0" collapsed="false">
      <c r="A58" s="18" t="n">
        <v>1</v>
      </c>
      <c r="B58" s="19" t="s">
        <v>32</v>
      </c>
      <c r="C58" s="20" t="s">
        <v>99</v>
      </c>
      <c r="D58" s="21" t="s">
        <v>100</v>
      </c>
    </row>
    <row r="60" customFormat="false" ht="15" hidden="false" customHeight="true" outlineLevel="0" collapsed="false">
      <c r="A60" s="2" t="s">
        <v>101</v>
      </c>
    </row>
    <row r="61" customFormat="false" ht="30" hidden="false" customHeight="true" outlineLevel="0" collapsed="false">
      <c r="A61" s="17" t="s">
        <v>16</v>
      </c>
      <c r="B61" s="17" t="s">
        <v>17</v>
      </c>
      <c r="C61" s="17" t="s">
        <v>18</v>
      </c>
      <c r="D61" s="17" t="s">
        <v>19</v>
      </c>
    </row>
    <row r="62" customFormat="false" ht="27.75" hidden="false" customHeight="true" outlineLevel="0" collapsed="false">
      <c r="A62" s="18" t="n">
        <v>4.21</v>
      </c>
      <c r="B62" s="19" t="s">
        <v>20</v>
      </c>
      <c r="C62" s="20" t="s">
        <v>102</v>
      </c>
      <c r="D62" s="21" t="s">
        <v>103</v>
      </c>
    </row>
    <row r="63" customFormat="false" ht="27.75" hidden="false" customHeight="true" outlineLevel="0" collapsed="false">
      <c r="A63" s="18" t="n">
        <v>3.41</v>
      </c>
      <c r="B63" s="19" t="s">
        <v>23</v>
      </c>
      <c r="C63" s="20" t="s">
        <v>104</v>
      </c>
      <c r="D63" s="21" t="s">
        <v>105</v>
      </c>
    </row>
    <row r="64" customFormat="false" ht="27.75" hidden="false" customHeight="true" outlineLevel="0" collapsed="false">
      <c r="A64" s="18" t="n">
        <v>2.61</v>
      </c>
      <c r="B64" s="19" t="s">
        <v>26</v>
      </c>
      <c r="C64" s="20" t="s">
        <v>106</v>
      </c>
      <c r="D64" s="21" t="s">
        <v>107</v>
      </c>
    </row>
    <row r="65" customFormat="false" ht="27.75" hidden="false" customHeight="true" outlineLevel="0" collapsed="false">
      <c r="A65" s="18" t="n">
        <v>1.81</v>
      </c>
      <c r="B65" s="19" t="s">
        <v>29</v>
      </c>
      <c r="C65" s="20" t="s">
        <v>108</v>
      </c>
      <c r="D65" s="21" t="s">
        <v>109</v>
      </c>
    </row>
    <row r="66" customFormat="false" ht="27.75" hidden="false" customHeight="true" outlineLevel="0" collapsed="false">
      <c r="A66" s="18" t="n">
        <v>1</v>
      </c>
      <c r="B66" s="19" t="s">
        <v>32</v>
      </c>
      <c r="C66" s="20" t="s">
        <v>110</v>
      </c>
      <c r="D66" s="21" t="s">
        <v>111</v>
      </c>
    </row>
    <row r="68" customFormat="false" ht="15" hidden="false" customHeight="true" outlineLevel="0" collapsed="false">
      <c r="A68" s="2" t="s">
        <v>112</v>
      </c>
    </row>
    <row r="69" customFormat="false" ht="30" hidden="false" customHeight="true" outlineLevel="0" collapsed="false">
      <c r="A69" s="17" t="s">
        <v>16</v>
      </c>
      <c r="B69" s="17" t="s">
        <v>17</v>
      </c>
      <c r="C69" s="17" t="s">
        <v>18</v>
      </c>
      <c r="D69" s="17" t="s">
        <v>19</v>
      </c>
    </row>
    <row r="70" customFormat="false" ht="27.75" hidden="false" customHeight="true" outlineLevel="0" collapsed="false">
      <c r="A70" s="18" t="n">
        <v>4.21</v>
      </c>
      <c r="B70" s="19" t="s">
        <v>20</v>
      </c>
      <c r="C70" s="20" t="s">
        <v>113</v>
      </c>
      <c r="D70" s="21" t="s">
        <v>114</v>
      </c>
    </row>
    <row r="71" customFormat="false" ht="27.75" hidden="false" customHeight="true" outlineLevel="0" collapsed="false">
      <c r="A71" s="18" t="n">
        <v>3.41</v>
      </c>
      <c r="B71" s="19" t="s">
        <v>23</v>
      </c>
      <c r="C71" s="20" t="s">
        <v>115</v>
      </c>
      <c r="D71" s="21" t="s">
        <v>116</v>
      </c>
    </row>
    <row r="72" customFormat="false" ht="18" hidden="false" customHeight="true" outlineLevel="0" collapsed="false">
      <c r="A72" s="18" t="n">
        <v>2.61</v>
      </c>
      <c r="B72" s="19" t="s">
        <v>26</v>
      </c>
      <c r="C72" s="20" t="s">
        <v>117</v>
      </c>
      <c r="D72" s="21" t="s">
        <v>118</v>
      </c>
    </row>
    <row r="73" customFormat="false" ht="27.75" hidden="false" customHeight="true" outlineLevel="0" collapsed="false">
      <c r="A73" s="18" t="n">
        <v>1.81</v>
      </c>
      <c r="B73" s="19" t="s">
        <v>29</v>
      </c>
      <c r="C73" s="20" t="s">
        <v>119</v>
      </c>
      <c r="D73" s="21" t="s">
        <v>120</v>
      </c>
    </row>
    <row r="74" customFormat="false" ht="27.75" hidden="false" customHeight="true" outlineLevel="0" collapsed="false">
      <c r="A74" s="18" t="n">
        <v>1</v>
      </c>
      <c r="B74" s="19" t="s">
        <v>32</v>
      </c>
      <c r="C74" s="20" t="s">
        <v>121</v>
      </c>
      <c r="D74" s="21" t="s">
        <v>122</v>
      </c>
    </row>
    <row r="76" customFormat="false" ht="15" hidden="false" customHeight="true" outlineLevel="0" collapsed="false">
      <c r="A76" s="2" t="s">
        <v>123</v>
      </c>
    </row>
    <row r="77" customFormat="false" ht="30" hidden="false" customHeight="true" outlineLevel="0" collapsed="false">
      <c r="A77" s="17" t="s">
        <v>16</v>
      </c>
      <c r="B77" s="17" t="s">
        <v>124</v>
      </c>
      <c r="C77" s="17" t="s">
        <v>125</v>
      </c>
      <c r="D77" s="17" t="s">
        <v>126</v>
      </c>
    </row>
    <row r="78" customFormat="false" ht="18" hidden="false" customHeight="true" outlineLevel="0" collapsed="false">
      <c r="A78" s="18" t="n">
        <v>4.21</v>
      </c>
      <c r="B78" s="19" t="n">
        <v>5</v>
      </c>
      <c r="C78" s="20" t="s">
        <v>127</v>
      </c>
      <c r="D78" s="21" t="s">
        <v>128</v>
      </c>
    </row>
    <row r="79" customFormat="false" ht="18" hidden="false" customHeight="true" outlineLevel="0" collapsed="false">
      <c r="A79" s="18" t="n">
        <v>3.41</v>
      </c>
      <c r="B79" s="19" t="n">
        <v>4</v>
      </c>
      <c r="C79" s="20" t="s">
        <v>129</v>
      </c>
      <c r="D79" s="21" t="s">
        <v>130</v>
      </c>
    </row>
    <row r="80" customFormat="false" ht="18" hidden="false" customHeight="true" outlineLevel="0" collapsed="false">
      <c r="A80" s="18" t="n">
        <v>2.61</v>
      </c>
      <c r="B80" s="19" t="n">
        <v>3</v>
      </c>
      <c r="C80" s="20" t="s">
        <v>131</v>
      </c>
      <c r="D80" s="21" t="s">
        <v>132</v>
      </c>
    </row>
    <row r="81" customFormat="false" ht="18" hidden="false" customHeight="true" outlineLevel="0" collapsed="false">
      <c r="A81" s="18" t="n">
        <v>1.81</v>
      </c>
      <c r="B81" s="19" t="n">
        <v>2</v>
      </c>
      <c r="C81" s="20" t="s">
        <v>133</v>
      </c>
      <c r="D81" s="21" t="s">
        <v>134</v>
      </c>
    </row>
    <row r="82" customFormat="false" ht="18" hidden="false" customHeight="true" outlineLevel="0" collapsed="false">
      <c r="A82" s="18" t="n">
        <v>1</v>
      </c>
      <c r="B82" s="19" t="n">
        <v>1</v>
      </c>
      <c r="C82" s="20" t="s">
        <v>135</v>
      </c>
      <c r="D82" s="21" t="s">
        <v>136</v>
      </c>
    </row>
    <row r="84" customFormat="false" ht="15" hidden="false" customHeight="true" outlineLevel="0" collapsed="false">
      <c r="A84" s="2" t="s">
        <v>137</v>
      </c>
    </row>
    <row r="85" customFormat="false" ht="30" hidden="false" customHeight="true" outlineLevel="0" collapsed="false">
      <c r="A85" s="17" t="s">
        <v>16</v>
      </c>
      <c r="B85" s="17" t="s">
        <v>124</v>
      </c>
      <c r="C85" s="17" t="s">
        <v>18</v>
      </c>
      <c r="D85" s="17" t="s">
        <v>19</v>
      </c>
    </row>
    <row r="86" customFormat="false" ht="18" hidden="false" customHeight="true" outlineLevel="0" collapsed="false">
      <c r="A86" s="18" t="n">
        <v>4.21</v>
      </c>
      <c r="B86" s="19" t="n">
        <v>5</v>
      </c>
      <c r="C86" s="20" t="s">
        <v>138</v>
      </c>
      <c r="D86" s="21" t="s">
        <v>139</v>
      </c>
    </row>
    <row r="87" customFormat="false" ht="18" hidden="false" customHeight="true" outlineLevel="0" collapsed="false">
      <c r="A87" s="18" t="n">
        <v>3.41</v>
      </c>
      <c r="B87" s="19" t="n">
        <v>4</v>
      </c>
      <c r="C87" s="20" t="s">
        <v>140</v>
      </c>
      <c r="D87" s="21" t="s">
        <v>141</v>
      </c>
    </row>
    <row r="88" customFormat="false" ht="18" hidden="false" customHeight="true" outlineLevel="0" collapsed="false">
      <c r="A88" s="18" t="n">
        <v>2.61</v>
      </c>
      <c r="B88" s="19" t="n">
        <v>3</v>
      </c>
      <c r="C88" s="20" t="s">
        <v>142</v>
      </c>
      <c r="D88" s="21" t="s">
        <v>143</v>
      </c>
    </row>
    <row r="89" customFormat="false" ht="18" hidden="false" customHeight="true" outlineLevel="0" collapsed="false">
      <c r="A89" s="18" t="n">
        <v>1.81</v>
      </c>
      <c r="B89" s="19" t="n">
        <v>2</v>
      </c>
      <c r="C89" s="20" t="s">
        <v>144</v>
      </c>
      <c r="D89" s="21" t="s">
        <v>145</v>
      </c>
    </row>
    <row r="90" customFormat="false" ht="18" hidden="false" customHeight="true" outlineLevel="0" collapsed="false">
      <c r="A90" s="18" t="n">
        <v>1</v>
      </c>
      <c r="B90" s="19" t="n">
        <v>1</v>
      </c>
      <c r="C90" s="20" t="s">
        <v>33</v>
      </c>
      <c r="D90" s="21" t="s">
        <v>146</v>
      </c>
    </row>
    <row r="92" customFormat="false" ht="15" hidden="false" customHeight="true" outlineLevel="0" collapsed="false">
      <c r="A92" s="2" t="s">
        <v>147</v>
      </c>
    </row>
    <row r="93" customFormat="false" ht="30" hidden="false" customHeight="true" outlineLevel="0" collapsed="false">
      <c r="A93" s="17" t="s">
        <v>16</v>
      </c>
      <c r="B93" s="17" t="s">
        <v>124</v>
      </c>
      <c r="C93" s="17" t="s">
        <v>18</v>
      </c>
      <c r="D93" s="17" t="s">
        <v>19</v>
      </c>
    </row>
    <row r="94" customFormat="false" ht="18" hidden="false" customHeight="true" outlineLevel="0" collapsed="false">
      <c r="A94" s="18" t="n">
        <v>4.21</v>
      </c>
      <c r="B94" s="19" t="n">
        <v>5</v>
      </c>
      <c r="C94" s="20" t="s">
        <v>148</v>
      </c>
      <c r="D94" s="21" t="s">
        <v>149</v>
      </c>
    </row>
    <row r="95" customFormat="false" ht="18" hidden="false" customHeight="true" outlineLevel="0" collapsed="false">
      <c r="A95" s="18" t="n">
        <v>3.41</v>
      </c>
      <c r="B95" s="19" t="n">
        <v>4</v>
      </c>
      <c r="C95" s="20" t="s">
        <v>150</v>
      </c>
      <c r="D95" s="21" t="s">
        <v>151</v>
      </c>
    </row>
    <row r="96" customFormat="false" ht="18" hidden="false" customHeight="true" outlineLevel="0" collapsed="false">
      <c r="A96" s="18" t="n">
        <v>2.61</v>
      </c>
      <c r="B96" s="19" t="n">
        <v>3</v>
      </c>
      <c r="C96" s="20" t="s">
        <v>152</v>
      </c>
      <c r="D96" s="21" t="s">
        <v>153</v>
      </c>
    </row>
    <row r="97" customFormat="false" ht="18" hidden="false" customHeight="true" outlineLevel="0" collapsed="false">
      <c r="A97" s="18" t="n">
        <v>1.81</v>
      </c>
      <c r="B97" s="19" t="n">
        <v>2</v>
      </c>
      <c r="C97" s="20" t="s">
        <v>154</v>
      </c>
      <c r="D97" s="21" t="s">
        <v>155</v>
      </c>
    </row>
    <row r="98" customFormat="false" ht="18" hidden="false" customHeight="true" outlineLevel="0" collapsed="false">
      <c r="A98" s="18" t="n">
        <v>1</v>
      </c>
      <c r="B98" s="19" t="n">
        <v>1</v>
      </c>
      <c r="C98" s="20" t="s">
        <v>156</v>
      </c>
      <c r="D98" s="21" t="s">
        <v>157</v>
      </c>
    </row>
    <row r="100" customFormat="false" ht="15" hidden="false" customHeight="true" outlineLevel="0" collapsed="false">
      <c r="A100" s="2" t="s">
        <v>158</v>
      </c>
    </row>
    <row r="101" customFormat="false" ht="30" hidden="false" customHeight="true" outlineLevel="0" collapsed="false">
      <c r="A101" s="17" t="s">
        <v>16</v>
      </c>
      <c r="B101" s="17" t="s">
        <v>124</v>
      </c>
      <c r="C101" s="17" t="s">
        <v>18</v>
      </c>
      <c r="D101" s="17" t="s">
        <v>19</v>
      </c>
    </row>
    <row r="102" customFormat="false" ht="18" hidden="false" customHeight="true" outlineLevel="0" collapsed="false">
      <c r="A102" s="18" t="n">
        <v>4.21</v>
      </c>
      <c r="B102" s="19" t="n">
        <v>5</v>
      </c>
      <c r="C102" s="20" t="s">
        <v>127</v>
      </c>
      <c r="D102" s="21" t="s">
        <v>159</v>
      </c>
    </row>
    <row r="103" customFormat="false" ht="18" hidden="false" customHeight="true" outlineLevel="0" collapsed="false">
      <c r="A103" s="18" t="n">
        <v>3.41</v>
      </c>
      <c r="B103" s="19" t="n">
        <v>4</v>
      </c>
      <c r="C103" s="20" t="s">
        <v>129</v>
      </c>
      <c r="D103" s="21" t="s">
        <v>160</v>
      </c>
    </row>
    <row r="104" customFormat="false" ht="18" hidden="false" customHeight="true" outlineLevel="0" collapsed="false">
      <c r="A104" s="18" t="n">
        <v>2.61</v>
      </c>
      <c r="B104" s="19" t="n">
        <v>3</v>
      </c>
      <c r="C104" s="20" t="s">
        <v>131</v>
      </c>
      <c r="D104" s="21" t="s">
        <v>161</v>
      </c>
    </row>
    <row r="105" customFormat="false" ht="18" hidden="false" customHeight="true" outlineLevel="0" collapsed="false">
      <c r="A105" s="18" t="n">
        <v>1.81</v>
      </c>
      <c r="B105" s="19" t="n">
        <v>2</v>
      </c>
      <c r="C105" s="20" t="s">
        <v>133</v>
      </c>
      <c r="D105" s="21" t="s">
        <v>162</v>
      </c>
    </row>
    <row r="106" customFormat="false" ht="18" hidden="false" customHeight="true" outlineLevel="0" collapsed="false">
      <c r="A106" s="18" t="n">
        <v>1</v>
      </c>
      <c r="B106" s="19" t="n">
        <v>1</v>
      </c>
      <c r="C106" s="20" t="s">
        <v>135</v>
      </c>
      <c r="D106" s="21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6" activeCellId="0" sqref="A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7" min="3" style="1" width="5.18"/>
    <col collapsed="false" customWidth="true" hidden="false" outlineLevel="0" max="13" min="8" style="1" width="8"/>
    <col collapsed="false" customWidth="true" hidden="false" outlineLevel="0" max="18" min="14" style="1" width="8.43"/>
  </cols>
  <sheetData>
    <row r="1" customFormat="false" ht="16.5" hidden="false" customHeight="true" outlineLevel="0" collapsed="false">
      <c r="A1" s="22" t="s">
        <v>164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customFormat="false" ht="14.25" hidden="false" customHeight="true" outlineLevel="0" collapsed="false">
      <c r="A2" s="23" t="s">
        <v>165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customFormat="false" ht="14.25" hidden="false" customHeight="true" outlineLevel="0" collapsed="false">
      <c r="A3" s="24" t="s">
        <v>166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5" customFormat="false" ht="27.75" hidden="false" customHeight="true" outlineLevel="0" collapsed="false">
      <c r="A5" s="17" t="s">
        <v>167</v>
      </c>
      <c r="B5" s="17" t="s">
        <v>168</v>
      </c>
      <c r="C5" s="17" t="s">
        <v>169</v>
      </c>
      <c r="D5" s="17" t="s">
        <v>170</v>
      </c>
      <c r="E5" s="17" t="s">
        <v>171</v>
      </c>
      <c r="F5" s="17" t="s">
        <v>172</v>
      </c>
      <c r="G5" s="17" t="s">
        <v>173</v>
      </c>
      <c r="H5" s="17" t="s">
        <v>174</v>
      </c>
      <c r="I5" s="17" t="s">
        <v>175</v>
      </c>
      <c r="J5" s="17" t="s">
        <v>176</v>
      </c>
      <c r="K5" s="17" t="s">
        <v>177</v>
      </c>
      <c r="L5" s="17" t="s">
        <v>178</v>
      </c>
      <c r="M5" s="17" t="s">
        <v>179</v>
      </c>
    </row>
    <row r="6" customFormat="false" ht="27.75" hidden="false" customHeight="true" outlineLevel="0" collapsed="false">
      <c r="A6" s="25" t="s">
        <v>180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customFormat="false" ht="40.5" hidden="false" customHeight="true" outlineLevel="0" collapsed="false">
      <c r="A7" s="26" t="n">
        <v>1</v>
      </c>
      <c r="B7" s="27" t="s">
        <v>181</v>
      </c>
      <c r="C7" s="28" t="n">
        <v>5</v>
      </c>
      <c r="D7" s="28" t="n">
        <v>5</v>
      </c>
      <c r="E7" s="28" t="n">
        <v>5</v>
      </c>
      <c r="F7" s="28" t="n">
        <v>5</v>
      </c>
      <c r="G7" s="28" t="n">
        <v>5</v>
      </c>
      <c r="H7" s="29" t="n">
        <f aca="false">(5*I7+4*J7+3*K7+2*L7+1*M7)/SUM(I7:M7)</f>
        <v>5</v>
      </c>
      <c r="I7" s="26" t="n">
        <f aca="false">COUNTIF(C7:G7,5)</f>
        <v>5</v>
      </c>
      <c r="J7" s="26" t="n">
        <f aca="false">COUNTIF(C7:G7,4)</f>
        <v>0</v>
      </c>
      <c r="K7" s="26" t="n">
        <f aca="false">COUNTIF(C7:G7,3)</f>
        <v>0</v>
      </c>
      <c r="L7" s="26" t="n">
        <f aca="false">COUNTIF(C7:G7,2)</f>
        <v>0</v>
      </c>
      <c r="M7" s="26" t="n">
        <f aca="false">COUNTIF(C7:G7,1)</f>
        <v>0</v>
      </c>
    </row>
    <row r="8" customFormat="false" ht="54" hidden="false" customHeight="true" outlineLevel="0" collapsed="false">
      <c r="A8" s="26" t="n">
        <v>2</v>
      </c>
      <c r="B8" s="27" t="s">
        <v>182</v>
      </c>
      <c r="C8" s="28" t="n">
        <v>4</v>
      </c>
      <c r="D8" s="28" t="n">
        <v>5</v>
      </c>
      <c r="E8" s="28" t="n">
        <v>5</v>
      </c>
      <c r="F8" s="28" t="n">
        <v>5</v>
      </c>
      <c r="G8" s="28" t="n">
        <v>5</v>
      </c>
      <c r="H8" s="29" t="n">
        <f aca="false">(5*I8+4*J8+3*K8+2*L8+1*M8)/SUM(I8:M8)</f>
        <v>4.8</v>
      </c>
      <c r="I8" s="26" t="n">
        <f aca="false">COUNTIF(C8:G8,5)</f>
        <v>4</v>
      </c>
      <c r="J8" s="26" t="n">
        <f aca="false">COUNTIF(C8:G8,4)</f>
        <v>1</v>
      </c>
      <c r="K8" s="26" t="n">
        <f aca="false">COUNTIF(C8:G8,3)</f>
        <v>0</v>
      </c>
      <c r="L8" s="26" t="n">
        <f aca="false">COUNTIF(C8:G8,2)</f>
        <v>0</v>
      </c>
      <c r="M8" s="26" t="n">
        <f aca="false">COUNTIF(C8:G8,1)</f>
        <v>0</v>
      </c>
    </row>
    <row r="9" customFormat="false" ht="54" hidden="false" customHeight="true" outlineLevel="0" collapsed="false">
      <c r="A9" s="26" t="n">
        <v>3</v>
      </c>
      <c r="B9" s="27" t="s">
        <v>183</v>
      </c>
      <c r="C9" s="28" t="n">
        <v>4</v>
      </c>
      <c r="D9" s="28" t="n">
        <v>5</v>
      </c>
      <c r="E9" s="28" t="n">
        <v>5</v>
      </c>
      <c r="F9" s="28" t="n">
        <v>5</v>
      </c>
      <c r="G9" s="28" t="n">
        <v>5</v>
      </c>
      <c r="H9" s="29" t="n">
        <f aca="false">(5*I9+4*J9+3*K9+2*L9+1*M9)/SUM(I9:M9)</f>
        <v>4.8</v>
      </c>
      <c r="I9" s="26" t="n">
        <f aca="false">COUNTIF(C9:G9,5)</f>
        <v>4</v>
      </c>
      <c r="J9" s="26" t="n">
        <f aca="false">COUNTIF(C9:G9,4)</f>
        <v>1</v>
      </c>
      <c r="K9" s="26" t="n">
        <f aca="false">COUNTIF(C9:G9,3)</f>
        <v>0</v>
      </c>
      <c r="L9" s="26" t="n">
        <f aca="false">COUNTIF(C9:G9,2)</f>
        <v>0</v>
      </c>
      <c r="M9" s="26" t="n">
        <f aca="false">COUNTIF(C9:G9,1)</f>
        <v>0</v>
      </c>
    </row>
    <row r="10" customFormat="false" ht="15" hidden="false" customHeight="true" outlineLevel="0" collapsed="false">
      <c r="A10" s="30" t="s">
        <v>184</v>
      </c>
      <c r="B10" s="30"/>
      <c r="C10" s="30"/>
      <c r="D10" s="30"/>
      <c r="E10" s="30"/>
      <c r="F10" s="30"/>
      <c r="G10" s="30"/>
      <c r="H10" s="31" t="n">
        <f aca="false">AVERAGE(H7:H9)</f>
        <v>4.86666666666667</v>
      </c>
      <c r="I10" s="32"/>
      <c r="J10" s="32"/>
      <c r="K10" s="32"/>
      <c r="L10" s="32"/>
      <c r="M10" s="32"/>
    </row>
    <row r="11" customFormat="false" ht="15" hidden="false" customHeight="true" outlineLevel="0" collapsed="false">
      <c r="A11" s="25" t="s">
        <v>185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customFormat="false" ht="40.5" hidden="false" customHeight="true" outlineLevel="0" collapsed="false">
      <c r="A12" s="26" t="n">
        <v>4</v>
      </c>
      <c r="B12" s="27" t="s">
        <v>186</v>
      </c>
      <c r="C12" s="28" t="n">
        <v>3</v>
      </c>
      <c r="D12" s="28" t="n">
        <v>4</v>
      </c>
      <c r="E12" s="28" t="n">
        <v>4</v>
      </c>
      <c r="F12" s="28" t="n">
        <v>4</v>
      </c>
      <c r="G12" s="28" t="n">
        <v>4</v>
      </c>
      <c r="H12" s="29" t="n">
        <f aca="false">(5*I12+4*J12+3*K12+2*L12+1*M12)/SUM(I12:M12)</f>
        <v>3.8</v>
      </c>
      <c r="I12" s="26" t="n">
        <f aca="false">COUNTIF(C12:G12,5)</f>
        <v>0</v>
      </c>
      <c r="J12" s="26" t="n">
        <f aca="false">COUNTIF(C12:G12,4)</f>
        <v>4</v>
      </c>
      <c r="K12" s="26" t="n">
        <f aca="false">COUNTIF(C12:G12,3)</f>
        <v>1</v>
      </c>
      <c r="L12" s="26" t="n">
        <f aca="false">COUNTIF(C12:G12,2)</f>
        <v>0</v>
      </c>
      <c r="M12" s="26" t="n">
        <f aca="false">COUNTIF(C12:G12,1)</f>
        <v>0</v>
      </c>
    </row>
    <row r="13" customFormat="false" ht="40.5" hidden="false" customHeight="true" outlineLevel="0" collapsed="false">
      <c r="A13" s="26" t="n">
        <v>5</v>
      </c>
      <c r="B13" s="27" t="s">
        <v>187</v>
      </c>
      <c r="C13" s="28" t="n">
        <v>4</v>
      </c>
      <c r="D13" s="28" t="n">
        <v>5</v>
      </c>
      <c r="E13" s="28" t="n">
        <v>4</v>
      </c>
      <c r="F13" s="28" t="n">
        <v>4</v>
      </c>
      <c r="G13" s="28" t="n">
        <v>4</v>
      </c>
      <c r="H13" s="29" t="n">
        <f aca="false">(5*I13+4*J13+3*K13+2*L13+1*M13)/SUM(I13:M13)</f>
        <v>4.2</v>
      </c>
      <c r="I13" s="26" t="n">
        <f aca="false">COUNTIF(C13:G13,5)</f>
        <v>1</v>
      </c>
      <c r="J13" s="26" t="n">
        <f aca="false">COUNTIF(C13:G13,4)</f>
        <v>4</v>
      </c>
      <c r="K13" s="26" t="n">
        <f aca="false">COUNTIF(C13:G13,3)</f>
        <v>0</v>
      </c>
      <c r="L13" s="26" t="n">
        <f aca="false">COUNTIF(C13:G13,2)</f>
        <v>0</v>
      </c>
      <c r="M13" s="26" t="n">
        <f aca="false">COUNTIF(C13:G13,1)</f>
        <v>0</v>
      </c>
    </row>
    <row r="14" customFormat="false" ht="40.5" hidden="false" customHeight="true" outlineLevel="0" collapsed="false">
      <c r="A14" s="26" t="n">
        <v>6</v>
      </c>
      <c r="B14" s="27" t="s">
        <v>188</v>
      </c>
      <c r="C14" s="28" t="n">
        <v>5</v>
      </c>
      <c r="D14" s="28" t="n">
        <v>4</v>
      </c>
      <c r="E14" s="28" t="n">
        <v>4</v>
      </c>
      <c r="F14" s="28" t="n">
        <v>4</v>
      </c>
      <c r="G14" s="28" t="n">
        <v>4</v>
      </c>
      <c r="H14" s="29" t="n">
        <f aca="false">(5*I14+4*J14+3*K14+2*L14+1*M14)/SUM(I14:M14)</f>
        <v>4.2</v>
      </c>
      <c r="I14" s="26" t="n">
        <f aca="false">COUNTIF(C14:G14,5)</f>
        <v>1</v>
      </c>
      <c r="J14" s="26" t="n">
        <f aca="false">COUNTIF(C14:G14,4)</f>
        <v>4</v>
      </c>
      <c r="K14" s="26" t="n">
        <f aca="false">COUNTIF(C14:G14,3)</f>
        <v>0</v>
      </c>
      <c r="L14" s="26" t="n">
        <f aca="false">COUNTIF(C14:G14,2)</f>
        <v>0</v>
      </c>
      <c r="M14" s="26" t="n">
        <f aca="false">COUNTIF(C14:G14,1)</f>
        <v>0</v>
      </c>
    </row>
    <row r="15" customFormat="false" ht="15" hidden="false" customHeight="true" outlineLevel="0" collapsed="false">
      <c r="A15" s="30" t="s">
        <v>189</v>
      </c>
      <c r="B15" s="30"/>
      <c r="C15" s="30"/>
      <c r="D15" s="30"/>
      <c r="E15" s="30"/>
      <c r="F15" s="30"/>
      <c r="G15" s="30"/>
      <c r="H15" s="31" t="n">
        <f aca="false">AVERAGE(H12:H14)</f>
        <v>4.06666666666667</v>
      </c>
      <c r="I15" s="32"/>
      <c r="J15" s="32"/>
      <c r="K15" s="32"/>
      <c r="L15" s="32"/>
      <c r="M15" s="32"/>
    </row>
    <row r="16" customFormat="false" ht="27.75" hidden="false" customHeight="true" outlineLevel="0" collapsed="false">
      <c r="A16" s="25" t="s">
        <v>190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customFormat="false" ht="40.5" hidden="false" customHeight="true" outlineLevel="0" collapsed="false">
      <c r="A17" s="26" t="n">
        <v>7</v>
      </c>
      <c r="B17" s="27" t="s">
        <v>191</v>
      </c>
      <c r="C17" s="28" t="n">
        <v>4</v>
      </c>
      <c r="D17" s="28" t="n">
        <v>3</v>
      </c>
      <c r="E17" s="28" t="n">
        <v>3</v>
      </c>
      <c r="F17" s="28" t="n">
        <v>4</v>
      </c>
      <c r="G17" s="28" t="n">
        <v>3</v>
      </c>
      <c r="H17" s="29" t="n">
        <f aca="false">(5*I17+4*J17+3*K17+2*L17+1*M17)/SUM(I17:M17)</f>
        <v>3.4</v>
      </c>
      <c r="I17" s="26" t="n">
        <f aca="false">COUNTIF(C17:G17,5)</f>
        <v>0</v>
      </c>
      <c r="J17" s="26" t="n">
        <f aca="false">COUNTIF(C17:G17,4)</f>
        <v>2</v>
      </c>
      <c r="K17" s="26" t="n">
        <f aca="false">COUNTIF(C17:G17,3)</f>
        <v>3</v>
      </c>
      <c r="L17" s="26" t="n">
        <f aca="false">COUNTIF(C17:G17,2)</f>
        <v>0</v>
      </c>
      <c r="M17" s="26" t="n">
        <f aca="false">COUNTIF(C17:G17,1)</f>
        <v>0</v>
      </c>
    </row>
    <row r="18" customFormat="false" ht="40.5" hidden="false" customHeight="true" outlineLevel="0" collapsed="false">
      <c r="A18" s="26" t="n">
        <v>8</v>
      </c>
      <c r="B18" s="27" t="s">
        <v>192</v>
      </c>
      <c r="C18" s="28" t="n">
        <v>5</v>
      </c>
      <c r="D18" s="28" t="n">
        <v>5</v>
      </c>
      <c r="E18" s="28" t="n">
        <v>4</v>
      </c>
      <c r="F18" s="28" t="n">
        <v>4</v>
      </c>
      <c r="G18" s="28" t="n">
        <v>3</v>
      </c>
      <c r="H18" s="29" t="n">
        <f aca="false">(5*I18+4*J18+3*K18+2*L18+1*M18)/SUM(I18:M18)</f>
        <v>4.2</v>
      </c>
      <c r="I18" s="26" t="n">
        <f aca="false">COUNTIF(C18:G18,5)</f>
        <v>2</v>
      </c>
      <c r="J18" s="26" t="n">
        <f aca="false">COUNTIF(C18:G18,4)</f>
        <v>2</v>
      </c>
      <c r="K18" s="26" t="n">
        <f aca="false">COUNTIF(C18:G18,3)</f>
        <v>1</v>
      </c>
      <c r="L18" s="26" t="n">
        <f aca="false">COUNTIF(C18:G18,2)</f>
        <v>0</v>
      </c>
      <c r="M18" s="26" t="n">
        <f aca="false">COUNTIF(C18:G18,1)</f>
        <v>0</v>
      </c>
    </row>
    <row r="19" customFormat="false" ht="40.5" hidden="false" customHeight="true" outlineLevel="0" collapsed="false">
      <c r="A19" s="26" t="n">
        <v>9</v>
      </c>
      <c r="B19" s="27" t="s">
        <v>193</v>
      </c>
      <c r="C19" s="28" t="n">
        <v>3</v>
      </c>
      <c r="D19" s="28" t="n">
        <v>4</v>
      </c>
      <c r="E19" s="28" t="n">
        <v>4</v>
      </c>
      <c r="F19" s="28" t="n">
        <v>4</v>
      </c>
      <c r="G19" s="28" t="n">
        <v>4</v>
      </c>
      <c r="H19" s="29" t="n">
        <f aca="false">(5*I19+4*J19+3*K19+2*L19+1*M19)/SUM(I19:M19)</f>
        <v>3.8</v>
      </c>
      <c r="I19" s="26" t="n">
        <f aca="false">COUNTIF(C19:G19,5)</f>
        <v>0</v>
      </c>
      <c r="J19" s="26" t="n">
        <f aca="false">COUNTIF(C19:G19,4)</f>
        <v>4</v>
      </c>
      <c r="K19" s="26" t="n">
        <f aca="false">COUNTIF(C19:G19,3)</f>
        <v>1</v>
      </c>
      <c r="L19" s="26" t="n">
        <f aca="false">COUNTIF(C19:G19,2)</f>
        <v>0</v>
      </c>
      <c r="M19" s="26" t="n">
        <f aca="false">COUNTIF(C19:G19,1)</f>
        <v>0</v>
      </c>
    </row>
    <row r="20" customFormat="false" ht="15" hidden="false" customHeight="true" outlineLevel="0" collapsed="false">
      <c r="A20" s="30" t="s">
        <v>194</v>
      </c>
      <c r="B20" s="30"/>
      <c r="C20" s="30"/>
      <c r="D20" s="30"/>
      <c r="E20" s="30"/>
      <c r="F20" s="30"/>
      <c r="G20" s="30"/>
      <c r="H20" s="31" t="n">
        <f aca="false">AVERAGE(H17:H19)</f>
        <v>3.8</v>
      </c>
      <c r="I20" s="32"/>
      <c r="J20" s="32"/>
      <c r="K20" s="32"/>
      <c r="L20" s="32"/>
      <c r="M20" s="32"/>
    </row>
    <row r="21" customFormat="false" ht="27.75" hidden="false" customHeight="true" outlineLevel="0" collapsed="false">
      <c r="A21" s="25" t="s">
        <v>195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customFormat="false" ht="40.5" hidden="false" customHeight="true" outlineLevel="0" collapsed="false">
      <c r="A22" s="26" t="n">
        <v>10</v>
      </c>
      <c r="B22" s="27" t="s">
        <v>196</v>
      </c>
      <c r="C22" s="28" t="n">
        <v>5</v>
      </c>
      <c r="D22" s="28" t="n">
        <v>4</v>
      </c>
      <c r="E22" s="28" t="n">
        <v>5</v>
      </c>
      <c r="F22" s="28" t="n">
        <v>3</v>
      </c>
      <c r="G22" s="28" t="n">
        <v>4</v>
      </c>
      <c r="H22" s="29" t="n">
        <f aca="false">(5*I22+4*J22+3*K22+2*L22+1*M22)/SUM(I22:M22)</f>
        <v>4.2</v>
      </c>
      <c r="I22" s="26" t="n">
        <f aca="false">COUNTIF(C22:G22,5)</f>
        <v>2</v>
      </c>
      <c r="J22" s="26" t="n">
        <f aca="false">COUNTIF(C22:G22,4)</f>
        <v>2</v>
      </c>
      <c r="K22" s="26" t="n">
        <f aca="false">COUNTIF(C22:G22,3)</f>
        <v>1</v>
      </c>
      <c r="L22" s="26" t="n">
        <f aca="false">COUNTIF(C22:G22,2)</f>
        <v>0</v>
      </c>
      <c r="M22" s="26" t="n">
        <f aca="false">COUNTIF(C22:G22,1)</f>
        <v>0</v>
      </c>
    </row>
    <row r="23" customFormat="false" ht="40.5" hidden="false" customHeight="true" outlineLevel="0" collapsed="false">
      <c r="A23" s="26" t="n">
        <v>11</v>
      </c>
      <c r="B23" s="27" t="s">
        <v>197</v>
      </c>
      <c r="C23" s="28" t="n">
        <v>5</v>
      </c>
      <c r="D23" s="28" t="n">
        <v>4</v>
      </c>
      <c r="E23" s="28" t="n">
        <v>5</v>
      </c>
      <c r="F23" s="28" t="n">
        <v>4</v>
      </c>
      <c r="G23" s="28" t="n">
        <v>4</v>
      </c>
      <c r="H23" s="29" t="n">
        <f aca="false">(5*I23+4*J23+3*K23+2*L23+1*M23)/SUM(I23:M23)</f>
        <v>4.4</v>
      </c>
      <c r="I23" s="26" t="n">
        <f aca="false">COUNTIF(C23:G23,5)</f>
        <v>2</v>
      </c>
      <c r="J23" s="26" t="n">
        <f aca="false">COUNTIF(C23:G23,4)</f>
        <v>3</v>
      </c>
      <c r="K23" s="26" t="n">
        <f aca="false">COUNTIF(C23:G23,3)</f>
        <v>0</v>
      </c>
      <c r="L23" s="26" t="n">
        <f aca="false">COUNTIF(C23:G23,2)</f>
        <v>0</v>
      </c>
      <c r="M23" s="26" t="n">
        <f aca="false">COUNTIF(C23:G23,1)</f>
        <v>0</v>
      </c>
    </row>
    <row r="24" customFormat="false" ht="40.5" hidden="false" customHeight="true" outlineLevel="0" collapsed="false">
      <c r="A24" s="26" t="n">
        <v>12</v>
      </c>
      <c r="B24" s="27" t="s">
        <v>198</v>
      </c>
      <c r="C24" s="28" t="n">
        <v>5</v>
      </c>
      <c r="D24" s="28" t="n">
        <v>4</v>
      </c>
      <c r="E24" s="28" t="n">
        <v>5</v>
      </c>
      <c r="F24" s="28" t="n">
        <v>4</v>
      </c>
      <c r="G24" s="28" t="n">
        <v>4</v>
      </c>
      <c r="H24" s="29" t="n">
        <f aca="false">(5*I24+4*J24+3*K24+2*L24+1*M24)/SUM(I24:M24)</f>
        <v>4.4</v>
      </c>
      <c r="I24" s="26" t="n">
        <f aca="false">COUNTIF(C24:G24,5)</f>
        <v>2</v>
      </c>
      <c r="J24" s="26" t="n">
        <f aca="false">COUNTIF(C24:G24,4)</f>
        <v>3</v>
      </c>
      <c r="K24" s="26" t="n">
        <f aca="false">COUNTIF(C24:G24,3)</f>
        <v>0</v>
      </c>
      <c r="L24" s="26" t="n">
        <f aca="false">COUNTIF(C24:G24,2)</f>
        <v>0</v>
      </c>
      <c r="M24" s="26" t="n">
        <f aca="false">COUNTIF(C24:G24,1)</f>
        <v>0</v>
      </c>
    </row>
    <row r="25" customFormat="false" ht="15" hidden="false" customHeight="true" outlineLevel="0" collapsed="false">
      <c r="A25" s="30" t="s">
        <v>199</v>
      </c>
      <c r="B25" s="30"/>
      <c r="C25" s="30"/>
      <c r="D25" s="30"/>
      <c r="E25" s="30"/>
      <c r="F25" s="30"/>
      <c r="G25" s="30"/>
      <c r="H25" s="31" t="n">
        <f aca="false">AVERAGE(H22:H24)</f>
        <v>4.33333333333333</v>
      </c>
      <c r="I25" s="32"/>
      <c r="J25" s="32"/>
      <c r="K25" s="32"/>
      <c r="L25" s="32"/>
      <c r="M25" s="32"/>
    </row>
    <row r="26" customFormat="false" ht="27.75" hidden="false" customHeight="true" outlineLevel="0" collapsed="false">
      <c r="A26" s="25" t="s">
        <v>200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customFormat="false" ht="40.5" hidden="false" customHeight="true" outlineLevel="0" collapsed="false">
      <c r="A27" s="26" t="n">
        <v>13</v>
      </c>
      <c r="B27" s="27" t="s">
        <v>201</v>
      </c>
      <c r="C27" s="28" t="n">
        <v>5</v>
      </c>
      <c r="D27" s="28" t="n">
        <v>4</v>
      </c>
      <c r="E27" s="28" t="n">
        <v>4</v>
      </c>
      <c r="F27" s="28" t="n">
        <v>4</v>
      </c>
      <c r="G27" s="28" t="n">
        <v>1</v>
      </c>
      <c r="H27" s="29" t="n">
        <f aca="false">(5*I27+4*J27+3*K27+2*L27+1*M27)/SUM(I27:M27)</f>
        <v>3.6</v>
      </c>
      <c r="I27" s="26" t="n">
        <f aca="false">COUNTIF(C27:G27,5)</f>
        <v>1</v>
      </c>
      <c r="J27" s="26" t="n">
        <f aca="false">COUNTIF(C27:G27,4)</f>
        <v>3</v>
      </c>
      <c r="K27" s="26" t="n">
        <f aca="false">COUNTIF(C27:G27,3)</f>
        <v>0</v>
      </c>
      <c r="L27" s="26" t="n">
        <f aca="false">COUNTIF(C27:G27,2)</f>
        <v>0</v>
      </c>
      <c r="M27" s="26" t="n">
        <f aca="false">COUNTIF(C27:G27,1)</f>
        <v>1</v>
      </c>
    </row>
    <row r="28" customFormat="false" ht="40.5" hidden="false" customHeight="true" outlineLevel="0" collapsed="false">
      <c r="A28" s="26" t="n">
        <v>14</v>
      </c>
      <c r="B28" s="27" t="s">
        <v>202</v>
      </c>
      <c r="C28" s="28" t="n">
        <v>4</v>
      </c>
      <c r="D28" s="28" t="n">
        <v>4</v>
      </c>
      <c r="E28" s="28" t="n">
        <v>5</v>
      </c>
      <c r="F28" s="28" t="n">
        <v>3</v>
      </c>
      <c r="G28" s="28" t="n">
        <v>4</v>
      </c>
      <c r="H28" s="29" t="n">
        <f aca="false">(5*I28+4*J28+3*K28+2*L28+1*M28)/SUM(I28:M28)</f>
        <v>4</v>
      </c>
      <c r="I28" s="26" t="n">
        <f aca="false">COUNTIF(C28:G28,5)</f>
        <v>1</v>
      </c>
      <c r="J28" s="26" t="n">
        <f aca="false">COUNTIF(C28:G28,4)</f>
        <v>3</v>
      </c>
      <c r="K28" s="26" t="n">
        <f aca="false">COUNTIF(C28:G28,3)</f>
        <v>1</v>
      </c>
      <c r="L28" s="26" t="n">
        <f aca="false">COUNTIF(C28:G28,2)</f>
        <v>0</v>
      </c>
      <c r="M28" s="26" t="n">
        <f aca="false">COUNTIF(C28:G28,1)</f>
        <v>0</v>
      </c>
    </row>
    <row r="29" customFormat="false" ht="40.5" hidden="false" customHeight="true" outlineLevel="0" collapsed="false">
      <c r="A29" s="26" t="n">
        <v>15</v>
      </c>
      <c r="B29" s="27" t="s">
        <v>203</v>
      </c>
      <c r="C29" s="28" t="n">
        <v>5</v>
      </c>
      <c r="D29" s="28" t="n">
        <v>2</v>
      </c>
      <c r="E29" s="28" t="n">
        <v>2</v>
      </c>
      <c r="F29" s="28" t="n">
        <v>2</v>
      </c>
      <c r="G29" s="28" t="n">
        <v>1</v>
      </c>
      <c r="H29" s="29" t="n">
        <f aca="false">(5*I29+4*J29+3*K29+2*L29+1*M29)/SUM(I29:M29)</f>
        <v>2.4</v>
      </c>
      <c r="I29" s="26" t="n">
        <f aca="false">COUNTIF(C29:G29,5)</f>
        <v>1</v>
      </c>
      <c r="J29" s="26" t="n">
        <f aca="false">COUNTIF(C29:G29,4)</f>
        <v>0</v>
      </c>
      <c r="K29" s="26" t="n">
        <f aca="false">COUNTIF(C29:G29,3)</f>
        <v>0</v>
      </c>
      <c r="L29" s="26" t="n">
        <f aca="false">COUNTIF(C29:G29,2)</f>
        <v>3</v>
      </c>
      <c r="M29" s="26" t="n">
        <f aca="false">COUNTIF(C29:G29,1)</f>
        <v>1</v>
      </c>
    </row>
    <row r="30" customFormat="false" ht="15" hidden="false" customHeight="true" outlineLevel="0" collapsed="false">
      <c r="A30" s="30" t="s">
        <v>204</v>
      </c>
      <c r="B30" s="30"/>
      <c r="C30" s="30"/>
      <c r="D30" s="30"/>
      <c r="E30" s="30"/>
      <c r="F30" s="30"/>
      <c r="G30" s="30"/>
      <c r="H30" s="31" t="n">
        <f aca="false">AVERAGE(H27:H29)</f>
        <v>3.33333333333333</v>
      </c>
      <c r="I30" s="32"/>
      <c r="J30" s="32"/>
      <c r="K30" s="32"/>
      <c r="L30" s="32"/>
      <c r="M30" s="32"/>
    </row>
    <row r="31" customFormat="false" ht="27.75" hidden="false" customHeight="true" outlineLevel="0" collapsed="false">
      <c r="A31" s="25" t="s">
        <v>205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customFormat="false" ht="40.5" hidden="false" customHeight="true" outlineLevel="0" collapsed="false">
      <c r="A32" s="26" t="n">
        <v>16</v>
      </c>
      <c r="B32" s="27" t="s">
        <v>206</v>
      </c>
      <c r="C32" s="28" t="n">
        <v>1</v>
      </c>
      <c r="D32" s="28" t="n">
        <v>2</v>
      </c>
      <c r="E32" s="28" t="n">
        <v>4</v>
      </c>
      <c r="F32" s="28" t="n">
        <v>5</v>
      </c>
      <c r="G32" s="28" t="n">
        <v>3</v>
      </c>
      <c r="H32" s="29" t="n">
        <f aca="false">(5*I32+4*J32+3*K32+2*L32+1*M32)/SUM(I32:M32)</f>
        <v>3</v>
      </c>
      <c r="I32" s="26" t="n">
        <f aca="false">COUNTIF(C32:G32,5)</f>
        <v>1</v>
      </c>
      <c r="J32" s="26" t="n">
        <f aca="false">COUNTIF(C32:G32,4)</f>
        <v>1</v>
      </c>
      <c r="K32" s="26" t="n">
        <f aca="false">COUNTIF(C32:G32,3)</f>
        <v>1</v>
      </c>
      <c r="L32" s="26" t="n">
        <f aca="false">COUNTIF(C32:G32,2)</f>
        <v>1</v>
      </c>
      <c r="M32" s="26" t="n">
        <f aca="false">COUNTIF(C32:G32,1)</f>
        <v>1</v>
      </c>
    </row>
    <row r="33" customFormat="false" ht="40.5" hidden="false" customHeight="true" outlineLevel="0" collapsed="false">
      <c r="A33" s="26" t="n">
        <v>17</v>
      </c>
      <c r="B33" s="27" t="s">
        <v>207</v>
      </c>
      <c r="C33" s="28" t="n">
        <v>5</v>
      </c>
      <c r="D33" s="28" t="n">
        <v>1</v>
      </c>
      <c r="E33" s="28" t="n">
        <v>4</v>
      </c>
      <c r="F33" s="28" t="n">
        <v>5</v>
      </c>
      <c r="G33" s="28" t="n">
        <v>4</v>
      </c>
      <c r="H33" s="29" t="n">
        <f aca="false">(5*I33+4*J33+3*K33+2*L33+1*M33)/SUM(I33:M33)</f>
        <v>3.8</v>
      </c>
      <c r="I33" s="26" t="n">
        <f aca="false">COUNTIF(C33:G33,5)</f>
        <v>2</v>
      </c>
      <c r="J33" s="26" t="n">
        <f aca="false">COUNTIF(C33:G33,4)</f>
        <v>2</v>
      </c>
      <c r="K33" s="26" t="n">
        <f aca="false">COUNTIF(C33:G33,3)</f>
        <v>0</v>
      </c>
      <c r="L33" s="26" t="n">
        <f aca="false">COUNTIF(C33:G33,2)</f>
        <v>0</v>
      </c>
      <c r="M33" s="26" t="n">
        <f aca="false">COUNTIF(C33:G33,1)</f>
        <v>1</v>
      </c>
    </row>
    <row r="34" customFormat="false" ht="40.5" hidden="false" customHeight="true" outlineLevel="0" collapsed="false">
      <c r="A34" s="26" t="n">
        <v>18</v>
      </c>
      <c r="B34" s="27" t="s">
        <v>208</v>
      </c>
      <c r="C34" s="28" t="n">
        <v>4</v>
      </c>
      <c r="D34" s="28" t="n">
        <v>1</v>
      </c>
      <c r="E34" s="28" t="n">
        <v>2</v>
      </c>
      <c r="F34" s="28" t="n">
        <v>1</v>
      </c>
      <c r="G34" s="28" t="n">
        <v>2</v>
      </c>
      <c r="H34" s="29" t="n">
        <f aca="false">(5*I34+4*J34+3*K34+2*L34+1*M34)/SUM(I34:M34)</f>
        <v>2</v>
      </c>
      <c r="I34" s="26" t="n">
        <f aca="false">COUNTIF(C34:G34,5)</f>
        <v>0</v>
      </c>
      <c r="J34" s="26" t="n">
        <f aca="false">COUNTIF(C34:G34,4)</f>
        <v>1</v>
      </c>
      <c r="K34" s="26" t="n">
        <f aca="false">COUNTIF(C34:G34,3)</f>
        <v>0</v>
      </c>
      <c r="L34" s="26" t="n">
        <f aca="false">COUNTIF(C34:G34,2)</f>
        <v>2</v>
      </c>
      <c r="M34" s="26" t="n">
        <f aca="false">COUNTIF(C34:G34,1)</f>
        <v>2</v>
      </c>
    </row>
    <row r="35" customFormat="false" ht="15" hidden="false" customHeight="true" outlineLevel="0" collapsed="false">
      <c r="A35" s="30" t="s">
        <v>209</v>
      </c>
      <c r="B35" s="30"/>
      <c r="C35" s="30"/>
      <c r="D35" s="30"/>
      <c r="E35" s="30"/>
      <c r="F35" s="30"/>
      <c r="G35" s="30"/>
      <c r="H35" s="31" t="n">
        <f aca="false">AVERAGE(H32:H34)</f>
        <v>2.93333333333333</v>
      </c>
      <c r="I35" s="32"/>
      <c r="J35" s="32"/>
      <c r="K35" s="32"/>
      <c r="L35" s="32"/>
      <c r="M35" s="32"/>
    </row>
    <row r="36" customFormat="false" ht="27.75" hidden="false" customHeight="true" outlineLevel="0" collapsed="false">
      <c r="A36" s="25" t="s">
        <v>210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customFormat="false" ht="40.5" hidden="false" customHeight="true" outlineLevel="0" collapsed="false">
      <c r="A37" s="26" t="n">
        <v>19</v>
      </c>
      <c r="B37" s="27" t="s">
        <v>211</v>
      </c>
      <c r="C37" s="28" t="n">
        <v>5</v>
      </c>
      <c r="D37" s="28" t="n">
        <v>3</v>
      </c>
      <c r="E37" s="28" t="n">
        <v>4</v>
      </c>
      <c r="F37" s="28" t="n">
        <v>4</v>
      </c>
      <c r="G37" s="28" t="n">
        <v>4</v>
      </c>
      <c r="H37" s="29" t="n">
        <f aca="false">(5*I37+4*J37+3*K37+2*L37+1*M37)/SUM(I37:M37)</f>
        <v>4</v>
      </c>
      <c r="I37" s="26" t="n">
        <f aca="false">COUNTIF(C37:G37,5)</f>
        <v>1</v>
      </c>
      <c r="J37" s="26" t="n">
        <f aca="false">COUNTIF(C37:G37,4)</f>
        <v>3</v>
      </c>
      <c r="K37" s="26" t="n">
        <f aca="false">COUNTIF(C37:G37,3)</f>
        <v>1</v>
      </c>
      <c r="L37" s="26" t="n">
        <f aca="false">COUNTIF(C37:G37,2)</f>
        <v>0</v>
      </c>
      <c r="M37" s="26" t="n">
        <f aca="false">COUNTIF(C37:G37,1)</f>
        <v>0</v>
      </c>
    </row>
    <row r="38" customFormat="false" ht="40.5" hidden="false" customHeight="true" outlineLevel="0" collapsed="false">
      <c r="A38" s="26" t="n">
        <v>20</v>
      </c>
      <c r="B38" s="27" t="s">
        <v>212</v>
      </c>
      <c r="C38" s="28" t="n">
        <v>4</v>
      </c>
      <c r="D38" s="28" t="n">
        <v>4</v>
      </c>
      <c r="E38" s="28" t="n">
        <v>3</v>
      </c>
      <c r="F38" s="28" t="n">
        <v>4</v>
      </c>
      <c r="G38" s="28" t="n">
        <v>4</v>
      </c>
      <c r="H38" s="29" t="n">
        <f aca="false">(5*I38+4*J38+3*K38+2*L38+1*M38)/SUM(I38:M38)</f>
        <v>3.8</v>
      </c>
      <c r="I38" s="26" t="n">
        <f aca="false">COUNTIF(C38:G38,5)</f>
        <v>0</v>
      </c>
      <c r="J38" s="26" t="n">
        <f aca="false">COUNTIF(C38:G38,4)</f>
        <v>4</v>
      </c>
      <c r="K38" s="26" t="n">
        <f aca="false">COUNTIF(C38:G38,3)</f>
        <v>1</v>
      </c>
      <c r="L38" s="26" t="n">
        <f aca="false">COUNTIF(C38:G38,2)</f>
        <v>0</v>
      </c>
      <c r="M38" s="26" t="n">
        <f aca="false">COUNTIF(C38:G38,1)</f>
        <v>0</v>
      </c>
    </row>
    <row r="39" customFormat="false" ht="40.5" hidden="false" customHeight="true" outlineLevel="0" collapsed="false">
      <c r="A39" s="26" t="n">
        <v>21</v>
      </c>
      <c r="B39" s="27" t="s">
        <v>213</v>
      </c>
      <c r="C39" s="28" t="n">
        <v>5</v>
      </c>
      <c r="D39" s="28" t="n">
        <v>3</v>
      </c>
      <c r="E39" s="28" t="n">
        <v>3</v>
      </c>
      <c r="F39" s="28" t="n">
        <v>3</v>
      </c>
      <c r="G39" s="28" t="n">
        <v>3</v>
      </c>
      <c r="H39" s="29" t="n">
        <f aca="false">(5*I39+4*J39+3*K39+2*L39+1*M39)/SUM(I39:M39)</f>
        <v>3.4</v>
      </c>
      <c r="I39" s="26" t="n">
        <f aca="false">COUNTIF(C39:G39,5)</f>
        <v>1</v>
      </c>
      <c r="J39" s="26" t="n">
        <f aca="false">COUNTIF(C39:G39,4)</f>
        <v>0</v>
      </c>
      <c r="K39" s="26" t="n">
        <f aca="false">COUNTIF(C39:G39,3)</f>
        <v>4</v>
      </c>
      <c r="L39" s="26" t="n">
        <f aca="false">COUNTIF(C39:G39,2)</f>
        <v>0</v>
      </c>
      <c r="M39" s="26" t="n">
        <f aca="false">COUNTIF(C39:G39,1)</f>
        <v>0</v>
      </c>
    </row>
    <row r="40" customFormat="false" ht="15" hidden="false" customHeight="true" outlineLevel="0" collapsed="false">
      <c r="A40" s="30" t="s">
        <v>214</v>
      </c>
      <c r="B40" s="30"/>
      <c r="C40" s="30"/>
      <c r="D40" s="30"/>
      <c r="E40" s="30"/>
      <c r="F40" s="30"/>
      <c r="G40" s="30"/>
      <c r="H40" s="31" t="n">
        <f aca="false">AVERAGE(H37:H39)</f>
        <v>3.73333333333333</v>
      </c>
      <c r="I40" s="32"/>
      <c r="J40" s="32"/>
      <c r="K40" s="32"/>
      <c r="L40" s="32"/>
      <c r="M40" s="32"/>
    </row>
    <row r="41" customFormat="false" ht="27.75" hidden="false" customHeight="true" outlineLevel="0" collapsed="false">
      <c r="A41" s="25" t="s">
        <v>215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customFormat="false" ht="40.5" hidden="false" customHeight="true" outlineLevel="0" collapsed="false">
      <c r="A42" s="26" t="n">
        <v>22</v>
      </c>
      <c r="B42" s="27" t="s">
        <v>216</v>
      </c>
      <c r="C42" s="28" t="n">
        <v>4</v>
      </c>
      <c r="D42" s="28" t="n">
        <v>4</v>
      </c>
      <c r="E42" s="28" t="n">
        <v>4</v>
      </c>
      <c r="F42" s="28" t="n">
        <v>4</v>
      </c>
      <c r="G42" s="28" t="n">
        <v>4</v>
      </c>
      <c r="H42" s="29" t="n">
        <f aca="false">(5*I42+4*J42+3*K42+2*L42+1*M42)/SUM(I42:M42)</f>
        <v>4</v>
      </c>
      <c r="I42" s="26" t="n">
        <f aca="false">COUNTIF(C42:G42,5)</f>
        <v>0</v>
      </c>
      <c r="J42" s="26" t="n">
        <f aca="false">COUNTIF(C42:G42,4)</f>
        <v>5</v>
      </c>
      <c r="K42" s="26" t="n">
        <f aca="false">COUNTIF(C42:G42,3)</f>
        <v>0</v>
      </c>
      <c r="L42" s="26" t="n">
        <f aca="false">COUNTIF(C42:G42,2)</f>
        <v>0</v>
      </c>
      <c r="M42" s="26" t="n">
        <f aca="false">COUNTIF(C42:G42,1)</f>
        <v>0</v>
      </c>
    </row>
    <row r="43" customFormat="false" ht="40.5" hidden="false" customHeight="true" outlineLevel="0" collapsed="false">
      <c r="A43" s="26" t="n">
        <v>23</v>
      </c>
      <c r="B43" s="27" t="s">
        <v>217</v>
      </c>
      <c r="C43" s="28" t="n">
        <v>5</v>
      </c>
      <c r="D43" s="28" t="n">
        <v>4</v>
      </c>
      <c r="E43" s="28" t="n">
        <v>4</v>
      </c>
      <c r="F43" s="28" t="n">
        <v>4</v>
      </c>
      <c r="G43" s="28" t="n">
        <v>4</v>
      </c>
      <c r="H43" s="29" t="n">
        <f aca="false">(5*I43+4*J43+3*K43+2*L43+1*M43)/SUM(I43:M43)</f>
        <v>4.2</v>
      </c>
      <c r="I43" s="26" t="n">
        <f aca="false">COUNTIF(C43:G43,5)</f>
        <v>1</v>
      </c>
      <c r="J43" s="26" t="n">
        <f aca="false">COUNTIF(C43:G43,4)</f>
        <v>4</v>
      </c>
      <c r="K43" s="26" t="n">
        <f aca="false">COUNTIF(C43:G43,3)</f>
        <v>0</v>
      </c>
      <c r="L43" s="26" t="n">
        <f aca="false">COUNTIF(C43:G43,2)</f>
        <v>0</v>
      </c>
      <c r="M43" s="26" t="n">
        <f aca="false">COUNTIF(C43:G43,1)</f>
        <v>0</v>
      </c>
    </row>
    <row r="44" customFormat="false" ht="40.5" hidden="false" customHeight="true" outlineLevel="0" collapsed="false">
      <c r="A44" s="26" t="n">
        <v>24</v>
      </c>
      <c r="B44" s="27" t="s">
        <v>218</v>
      </c>
      <c r="C44" s="28" t="n">
        <v>3</v>
      </c>
      <c r="D44" s="28" t="n">
        <v>4</v>
      </c>
      <c r="E44" s="28" t="n">
        <v>4</v>
      </c>
      <c r="F44" s="28" t="n">
        <v>3</v>
      </c>
      <c r="G44" s="28" t="n">
        <v>4</v>
      </c>
      <c r="H44" s="29" t="n">
        <f aca="false">(5*I44+4*J44+3*K44+2*L44+1*M44)/SUM(I44:M44)</f>
        <v>3.6</v>
      </c>
      <c r="I44" s="26" t="n">
        <f aca="false">COUNTIF(C44:G44,5)</f>
        <v>0</v>
      </c>
      <c r="J44" s="26" t="n">
        <f aca="false">COUNTIF(C44:G44,4)</f>
        <v>3</v>
      </c>
      <c r="K44" s="26" t="n">
        <f aca="false">COUNTIF(C44:G44,3)</f>
        <v>2</v>
      </c>
      <c r="L44" s="26" t="n">
        <f aca="false">COUNTIF(C44:G44,2)</f>
        <v>0</v>
      </c>
      <c r="M44" s="26" t="n">
        <f aca="false">COUNTIF(C44:G44,1)</f>
        <v>0</v>
      </c>
    </row>
    <row r="45" customFormat="false" ht="15" hidden="false" customHeight="true" outlineLevel="0" collapsed="false">
      <c r="A45" s="30" t="s">
        <v>219</v>
      </c>
      <c r="B45" s="30"/>
      <c r="C45" s="30"/>
      <c r="D45" s="30"/>
      <c r="E45" s="30"/>
      <c r="F45" s="30"/>
      <c r="G45" s="30"/>
      <c r="H45" s="31" t="n">
        <f aca="false">AVERAGE(H42:H44)</f>
        <v>3.93333333333333</v>
      </c>
      <c r="I45" s="32"/>
      <c r="J45" s="32"/>
      <c r="K45" s="32"/>
      <c r="L45" s="32"/>
      <c r="M45" s="32"/>
    </row>
    <row r="47" customFormat="false" ht="15" hidden="false" customHeight="true" outlineLevel="0" collapsed="false">
      <c r="A47" s="33" t="s">
        <v>220</v>
      </c>
      <c r="B47" s="33"/>
      <c r="C47" s="33"/>
      <c r="D47" s="33"/>
      <c r="E47" s="33"/>
      <c r="F47" s="33"/>
      <c r="G47" s="33"/>
      <c r="H47" s="34" t="n">
        <f aca="false">(AVERAGE(H7:H9)+AVERAGE(H12:H14)+AVERAGE(H17:H19)+AVERAGE(H22:H24)+AVERAGE(H27:H29)+AVERAGE(H32:H34)+AVERAGE(H37:H39)+AVERAGE(H42:H44))/8</f>
        <v>3.875</v>
      </c>
      <c r="I47" s="35" t="n">
        <f aca="false">COUNTIF(C7:G9,5)+COUNTIF(C12:G14,5)+COUNTIF(C17:G19,5)+COUNTIF(C22:G24,5)+COUNTIF(C27:G29,5)+COUNTIF(C32:G34,5)+COUNTIF(C37:G39,5)+COUNTIF(C42:G44,5)</f>
        <v>32</v>
      </c>
      <c r="J47" s="35" t="n">
        <f aca="false">COUNTIF(C7:G9,4)+COUNTIF(C12:G14,4)+COUNTIF(C17:G19,4)+COUNTIF(C22:G24,4)+COUNTIF(C27:G29,4)+COUNTIF(C32:G34,4)+COUNTIF(C37:G39,4)+COUNTIF(C42:G44,4)</f>
        <v>59</v>
      </c>
      <c r="K47" s="35" t="n">
        <f aca="false">COUNTIF(C7:G9,3)+COUNTIF(C12:G14,3)+COUNTIF(C17:G19,3)+COUNTIF(C22:G24,3)+COUNTIF(C27:G29,3)+COUNTIF(C32:G34,3)+COUNTIF(C37:G39,3)+COUNTIF(C42:G44,3)</f>
        <v>17</v>
      </c>
      <c r="L47" s="35" t="n">
        <f aca="false">COUNTIF(C7:G9,2)+COUNTIF(C12:G14,2)+COUNTIF(C17:G19,2)+COUNTIF(C22:G24,2)+COUNTIF(C27:G29,2)+COUNTIF(C32:G34,2)+COUNTIF(C37:G39,2)+COUNTIF(C42:G44,2)</f>
        <v>6</v>
      </c>
      <c r="M47" s="35" t="n">
        <f aca="false">COUNTIF(C7:G9,1)+COUNTIF(C12:G14,1)+COUNTIF(C17:G19,1)+COUNTIF(C22:G24,1)+COUNTIF(C27:G29,1)+COUNTIF(C32:G34,1)+COUNTIF(C37:G39,1)+COUNTIF(C42:G44,1)</f>
        <v>6</v>
      </c>
    </row>
  </sheetData>
  <mergeCells count="20">
    <mergeCell ref="A1:M1"/>
    <mergeCell ref="A2:M2"/>
    <mergeCell ref="A3:M3"/>
    <mergeCell ref="A6:M6"/>
    <mergeCell ref="A10:G10"/>
    <mergeCell ref="A11:M11"/>
    <mergeCell ref="A15:G15"/>
    <mergeCell ref="A16:M16"/>
    <mergeCell ref="A20:G20"/>
    <mergeCell ref="A21:M21"/>
    <mergeCell ref="A25:G25"/>
    <mergeCell ref="A26:M26"/>
    <mergeCell ref="A30:G30"/>
    <mergeCell ref="A31:M31"/>
    <mergeCell ref="A35:G35"/>
    <mergeCell ref="A36:M36"/>
    <mergeCell ref="A40:G40"/>
    <mergeCell ref="A41:M41"/>
    <mergeCell ref="A45:G45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7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pane xSplit="2" ySplit="5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W9" activeCellId="0" sqref="W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2" min="3" style="1" width="5.18"/>
    <col collapsed="false" customWidth="true" hidden="false" outlineLevel="0" max="38" min="33" style="1" width="8"/>
  </cols>
  <sheetData>
    <row r="1" customFormat="false" ht="16.5" hidden="false" customHeight="true" outlineLevel="0" collapsed="false">
      <c r="A1" s="22" t="s">
        <v>221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customFormat="false" ht="14.25" hidden="false" customHeight="true" outlineLevel="0" collapsed="false">
      <c r="A2" s="23" t="s">
        <v>222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customFormat="false" ht="14.25" hidden="false" customHeight="true" outlineLevel="0" collapsed="false">
      <c r="A3" s="24" t="s">
        <v>223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5" customFormat="false" ht="27.75" hidden="false" customHeight="true" outlineLevel="0" collapsed="false">
      <c r="A5" s="17" t="s">
        <v>167</v>
      </c>
      <c r="B5" s="17" t="s">
        <v>168</v>
      </c>
      <c r="C5" s="17" t="s">
        <v>169</v>
      </c>
      <c r="D5" s="17" t="s">
        <v>170</v>
      </c>
      <c r="E5" s="17" t="s">
        <v>171</v>
      </c>
      <c r="F5" s="17" t="s">
        <v>172</v>
      </c>
      <c r="G5" s="17" t="s">
        <v>173</v>
      </c>
      <c r="H5" s="17" t="s">
        <v>224</v>
      </c>
      <c r="I5" s="17" t="s">
        <v>225</v>
      </c>
      <c r="J5" s="17" t="s">
        <v>226</v>
      </c>
      <c r="K5" s="17" t="s">
        <v>227</v>
      </c>
      <c r="L5" s="17" t="s">
        <v>228</v>
      </c>
      <c r="M5" s="17" t="s">
        <v>229</v>
      </c>
      <c r="N5" s="17" t="s">
        <v>230</v>
      </c>
      <c r="O5" s="17" t="s">
        <v>231</v>
      </c>
      <c r="P5" s="17" t="s">
        <v>232</v>
      </c>
      <c r="Q5" s="17" t="s">
        <v>233</v>
      </c>
      <c r="R5" s="17" t="s">
        <v>234</v>
      </c>
      <c r="S5" s="17" t="s">
        <v>235</v>
      </c>
      <c r="T5" s="17" t="s">
        <v>236</v>
      </c>
      <c r="U5" s="17" t="s">
        <v>237</v>
      </c>
      <c r="V5" s="17" t="s">
        <v>238</v>
      </c>
      <c r="W5" s="17" t="s">
        <v>239</v>
      </c>
      <c r="X5" s="17" t="s">
        <v>240</v>
      </c>
      <c r="Y5" s="17" t="s">
        <v>241</v>
      </c>
      <c r="Z5" s="17" t="s">
        <v>242</v>
      </c>
      <c r="AA5" s="17" t="s">
        <v>243</v>
      </c>
      <c r="AB5" s="17" t="s">
        <v>244</v>
      </c>
      <c r="AC5" s="17" t="s">
        <v>245</v>
      </c>
      <c r="AD5" s="17" t="s">
        <v>246</v>
      </c>
      <c r="AE5" s="17" t="s">
        <v>247</v>
      </c>
      <c r="AF5" s="17" t="s">
        <v>248</v>
      </c>
      <c r="AG5" s="17" t="s">
        <v>174</v>
      </c>
      <c r="AH5" s="17" t="s">
        <v>249</v>
      </c>
      <c r="AI5" s="17" t="s">
        <v>250</v>
      </c>
      <c r="AJ5" s="17" t="s">
        <v>251</v>
      </c>
      <c r="AK5" s="17" t="s">
        <v>252</v>
      </c>
      <c r="AL5" s="17" t="s">
        <v>253</v>
      </c>
    </row>
    <row r="6" customFormat="false" ht="15" hidden="false" customHeight="true" outlineLevel="0" collapsed="false">
      <c r="A6" s="25" t="s">
        <v>180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40.5" hidden="false" customHeight="true" outlineLevel="0" collapsed="false">
      <c r="A7" s="26" t="n">
        <v>1</v>
      </c>
      <c r="B7" s="27" t="s">
        <v>254</v>
      </c>
      <c r="C7" s="28" t="n">
        <v>5</v>
      </c>
      <c r="D7" s="28" t="n">
        <v>5</v>
      </c>
      <c r="E7" s="28" t="n">
        <v>5</v>
      </c>
      <c r="F7" s="28" t="n">
        <v>5</v>
      </c>
      <c r="G7" s="28" t="n">
        <v>5</v>
      </c>
      <c r="H7" s="28" t="n">
        <v>5</v>
      </c>
      <c r="I7" s="28" t="n">
        <v>5</v>
      </c>
      <c r="J7" s="28" t="n">
        <v>5</v>
      </c>
      <c r="K7" s="28" t="n">
        <v>5</v>
      </c>
      <c r="L7" s="28" t="n">
        <v>4</v>
      </c>
      <c r="M7" s="28" t="n">
        <v>5</v>
      </c>
      <c r="N7" s="28" t="n">
        <v>5</v>
      </c>
      <c r="O7" s="28" t="n">
        <v>5</v>
      </c>
      <c r="P7" s="28" t="n">
        <v>4</v>
      </c>
      <c r="Q7" s="28" t="n">
        <v>4</v>
      </c>
      <c r="R7" s="28" t="n">
        <v>4</v>
      </c>
      <c r="S7" s="28" t="n">
        <v>3</v>
      </c>
      <c r="T7" s="28" t="n">
        <v>3</v>
      </c>
      <c r="U7" s="28" t="n">
        <v>5</v>
      </c>
      <c r="V7" s="28" t="n">
        <v>4</v>
      </c>
      <c r="W7" s="28" t="n">
        <v>5</v>
      </c>
      <c r="X7" s="28" t="n">
        <v>4</v>
      </c>
      <c r="Y7" s="28" t="n">
        <v>5</v>
      </c>
      <c r="Z7" s="28" t="n">
        <v>5</v>
      </c>
      <c r="AA7" s="28" t="n">
        <v>3</v>
      </c>
      <c r="AB7" s="28" t="n">
        <v>3</v>
      </c>
      <c r="AC7" s="28" t="n">
        <v>4</v>
      </c>
      <c r="AD7" s="28" t="n">
        <v>5</v>
      </c>
      <c r="AE7" s="28" t="n">
        <v>3</v>
      </c>
      <c r="AF7" s="28" t="n">
        <v>3</v>
      </c>
      <c r="AG7" s="29" t="n">
        <f aca="false">(5*AH7+4*AI7+3*AJ7+2*AK7+1*AL7)/SUM(AH7:AL7)</f>
        <v>4.36666666666667</v>
      </c>
      <c r="AH7" s="26" t="n">
        <f aca="false">COUNTIF(C7:AF7,5)</f>
        <v>17</v>
      </c>
      <c r="AI7" s="26" t="n">
        <f aca="false">COUNTIF(C7:AF7,4)</f>
        <v>7</v>
      </c>
      <c r="AJ7" s="26" t="n">
        <f aca="false">COUNTIF(C7:AF7,3)</f>
        <v>6</v>
      </c>
      <c r="AK7" s="26" t="n">
        <f aca="false">COUNTIF(C7:AF7,2)</f>
        <v>0</v>
      </c>
      <c r="AL7" s="26" t="n">
        <f aca="false">COUNTIF(C7:AF7,1)</f>
        <v>0</v>
      </c>
    </row>
    <row r="8" customFormat="false" ht="40.5" hidden="false" customHeight="true" outlineLevel="0" collapsed="false">
      <c r="A8" s="26" t="n">
        <v>2</v>
      </c>
      <c r="B8" s="27" t="s">
        <v>255</v>
      </c>
      <c r="C8" s="28" t="n">
        <v>5</v>
      </c>
      <c r="D8" s="28" t="n">
        <v>5</v>
      </c>
      <c r="E8" s="28" t="n">
        <v>5</v>
      </c>
      <c r="F8" s="28" t="n">
        <v>5</v>
      </c>
      <c r="G8" s="28" t="n">
        <v>5</v>
      </c>
      <c r="H8" s="28" t="n">
        <v>5</v>
      </c>
      <c r="I8" s="28" t="n">
        <v>5</v>
      </c>
      <c r="J8" s="28" t="n">
        <v>5</v>
      </c>
      <c r="K8" s="28" t="n">
        <v>5</v>
      </c>
      <c r="L8" s="28" t="n">
        <v>4</v>
      </c>
      <c r="M8" s="28" t="n">
        <v>5</v>
      </c>
      <c r="N8" s="28" t="n">
        <v>5</v>
      </c>
      <c r="O8" s="28" t="n">
        <v>5</v>
      </c>
      <c r="P8" s="28" t="n">
        <v>5</v>
      </c>
      <c r="Q8" s="28" t="n">
        <v>4</v>
      </c>
      <c r="R8" s="28" t="n">
        <v>4</v>
      </c>
      <c r="S8" s="28" t="n">
        <v>5</v>
      </c>
      <c r="T8" s="28" t="n">
        <v>4</v>
      </c>
      <c r="U8" s="28" t="n">
        <v>5</v>
      </c>
      <c r="V8" s="28" t="n">
        <v>3</v>
      </c>
      <c r="W8" s="28" t="n">
        <v>5</v>
      </c>
      <c r="X8" s="28" t="n">
        <v>5</v>
      </c>
      <c r="Y8" s="28" t="n">
        <v>5</v>
      </c>
      <c r="Z8" s="28" t="n">
        <v>5</v>
      </c>
      <c r="AA8" s="28" t="n">
        <v>5</v>
      </c>
      <c r="AB8" s="28" t="n">
        <v>5</v>
      </c>
      <c r="AC8" s="28" t="n">
        <v>4</v>
      </c>
      <c r="AD8" s="28" t="n">
        <v>5</v>
      </c>
      <c r="AE8" s="28" t="n">
        <v>5</v>
      </c>
      <c r="AF8" s="28" t="n">
        <v>4</v>
      </c>
      <c r="AG8" s="29" t="n">
        <f aca="false">(5*AH8+4*AI8+3*AJ8+2*AK8+1*AL8)/SUM(AH8:AL8)</f>
        <v>4.73333333333333</v>
      </c>
      <c r="AH8" s="26" t="n">
        <f aca="false">COUNTIF(C8:AF8,5)</f>
        <v>23</v>
      </c>
      <c r="AI8" s="26" t="n">
        <f aca="false">COUNTIF(C8:AF8,4)</f>
        <v>6</v>
      </c>
      <c r="AJ8" s="26" t="n">
        <f aca="false">COUNTIF(C8:AF8,3)</f>
        <v>1</v>
      </c>
      <c r="AK8" s="26" t="n">
        <f aca="false">COUNTIF(C8:AF8,2)</f>
        <v>0</v>
      </c>
      <c r="AL8" s="26" t="n">
        <f aca="false">COUNTIF(C8:AF8,1)</f>
        <v>0</v>
      </c>
    </row>
    <row r="9" customFormat="false" ht="40.5" hidden="false" customHeight="true" outlineLevel="0" collapsed="false">
      <c r="A9" s="26" t="n">
        <v>3</v>
      </c>
      <c r="B9" s="27" t="s">
        <v>256</v>
      </c>
      <c r="C9" s="28" t="n">
        <v>5</v>
      </c>
      <c r="D9" s="28" t="n">
        <v>5</v>
      </c>
      <c r="E9" s="28" t="n">
        <v>5</v>
      </c>
      <c r="F9" s="28" t="n">
        <v>5</v>
      </c>
      <c r="G9" s="28" t="n">
        <v>5</v>
      </c>
      <c r="H9" s="28" t="n">
        <v>5</v>
      </c>
      <c r="I9" s="28" t="n">
        <v>5</v>
      </c>
      <c r="J9" s="28" t="n">
        <v>5</v>
      </c>
      <c r="K9" s="28" t="n">
        <v>5</v>
      </c>
      <c r="L9" s="28" t="n">
        <v>3</v>
      </c>
      <c r="M9" s="28" t="n">
        <v>5</v>
      </c>
      <c r="N9" s="28" t="n">
        <v>5</v>
      </c>
      <c r="O9" s="28" t="n">
        <v>5</v>
      </c>
      <c r="P9" s="28" t="n">
        <v>5</v>
      </c>
      <c r="Q9" s="28" t="n">
        <v>4</v>
      </c>
      <c r="R9" s="28" t="n">
        <v>4</v>
      </c>
      <c r="S9" s="28" t="n">
        <v>4</v>
      </c>
      <c r="T9" s="28" t="n">
        <v>3</v>
      </c>
      <c r="U9" s="28" t="n">
        <v>5</v>
      </c>
      <c r="V9" s="28" t="n">
        <v>4</v>
      </c>
      <c r="W9" s="28" t="n">
        <v>5</v>
      </c>
      <c r="X9" s="28" t="n">
        <v>4</v>
      </c>
      <c r="Y9" s="28" t="n">
        <v>5</v>
      </c>
      <c r="Z9" s="28" t="n">
        <v>5</v>
      </c>
      <c r="AA9" s="28" t="n">
        <v>5</v>
      </c>
      <c r="AB9" s="28" t="n">
        <v>5</v>
      </c>
      <c r="AC9" s="28" t="n">
        <v>4</v>
      </c>
      <c r="AD9" s="28" t="n">
        <v>5</v>
      </c>
      <c r="AE9" s="28" t="n">
        <v>5</v>
      </c>
      <c r="AF9" s="28" t="n">
        <v>4</v>
      </c>
      <c r="AG9" s="29" t="n">
        <f aca="false">(5*AH9+4*AI9+3*AJ9+2*AK9+1*AL9)/SUM(AH9:AL9)</f>
        <v>4.63333333333333</v>
      </c>
      <c r="AH9" s="26" t="n">
        <f aca="false">COUNTIF(C9:AF9,5)</f>
        <v>21</v>
      </c>
      <c r="AI9" s="26" t="n">
        <f aca="false">COUNTIF(C9:AF9,4)</f>
        <v>7</v>
      </c>
      <c r="AJ9" s="26" t="n">
        <f aca="false">COUNTIF(C9:AF9,3)</f>
        <v>2</v>
      </c>
      <c r="AK9" s="26" t="n">
        <f aca="false">COUNTIF(C9:AF9,2)</f>
        <v>0</v>
      </c>
      <c r="AL9" s="26" t="n">
        <f aca="false">COUNTIF(C9:AF9,1)</f>
        <v>0</v>
      </c>
    </row>
    <row r="10" customFormat="false" ht="15" hidden="false" customHeight="true" outlineLevel="0" collapsed="false">
      <c r="A10" s="30" t="s">
        <v>184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1" t="n">
        <f aca="false">AVERAGE(AG7:AG9)</f>
        <v>4.57777777777778</v>
      </c>
      <c r="AH10" s="32"/>
      <c r="AI10" s="32"/>
      <c r="AJ10" s="32"/>
      <c r="AK10" s="32"/>
      <c r="AL10" s="32"/>
    </row>
    <row r="11" customFormat="false" ht="15" hidden="false" customHeight="true" outlineLevel="0" collapsed="false">
      <c r="A11" s="25" t="s">
        <v>185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customFormat="false" ht="40.5" hidden="false" customHeight="true" outlineLevel="0" collapsed="false">
      <c r="A12" s="26" t="n">
        <v>4</v>
      </c>
      <c r="B12" s="27" t="s">
        <v>257</v>
      </c>
      <c r="C12" s="28" t="n">
        <v>5</v>
      </c>
      <c r="D12" s="28" t="n">
        <v>5</v>
      </c>
      <c r="E12" s="28" t="n">
        <v>5</v>
      </c>
      <c r="F12" s="28" t="n">
        <v>5</v>
      </c>
      <c r="G12" s="28" t="n">
        <v>5</v>
      </c>
      <c r="H12" s="28" t="n">
        <v>5</v>
      </c>
      <c r="I12" s="28" t="n">
        <v>5</v>
      </c>
      <c r="J12" s="28" t="n">
        <v>5</v>
      </c>
      <c r="K12" s="28" t="n">
        <v>5</v>
      </c>
      <c r="L12" s="28" t="n">
        <v>5</v>
      </c>
      <c r="M12" s="28" t="n">
        <v>5</v>
      </c>
      <c r="N12" s="28" t="n">
        <v>5</v>
      </c>
      <c r="O12" s="28" t="n">
        <v>5</v>
      </c>
      <c r="P12" s="28" t="n">
        <v>4</v>
      </c>
      <c r="Q12" s="28" t="n">
        <v>4</v>
      </c>
      <c r="R12" s="28" t="n">
        <v>4</v>
      </c>
      <c r="S12" s="28" t="n">
        <v>3</v>
      </c>
      <c r="T12" s="28" t="n">
        <v>3</v>
      </c>
      <c r="U12" s="28" t="n">
        <v>5</v>
      </c>
      <c r="V12" s="28" t="n">
        <v>3</v>
      </c>
      <c r="W12" s="28" t="n">
        <v>5</v>
      </c>
      <c r="X12" s="28" t="n">
        <v>5</v>
      </c>
      <c r="Y12" s="28" t="n">
        <v>5</v>
      </c>
      <c r="Z12" s="28" t="n">
        <v>5</v>
      </c>
      <c r="AA12" s="28" t="n">
        <v>5</v>
      </c>
      <c r="AB12" s="28" t="n">
        <v>5</v>
      </c>
      <c r="AC12" s="28" t="n">
        <v>5</v>
      </c>
      <c r="AD12" s="28" t="n">
        <v>5</v>
      </c>
      <c r="AE12" s="28" t="n">
        <v>5</v>
      </c>
      <c r="AF12" s="28" t="n">
        <v>5</v>
      </c>
      <c r="AG12" s="29" t="n">
        <f aca="false">(5*AH12+4*AI12+3*AJ12+2*AK12+1*AL12)/SUM(AH12:AL12)</f>
        <v>4.7</v>
      </c>
      <c r="AH12" s="26" t="n">
        <f aca="false">COUNTIF(C12:AF12,5)</f>
        <v>24</v>
      </c>
      <c r="AI12" s="26" t="n">
        <f aca="false">COUNTIF(C12:AF12,4)</f>
        <v>3</v>
      </c>
      <c r="AJ12" s="26" t="n">
        <f aca="false">COUNTIF(C12:AF12,3)</f>
        <v>3</v>
      </c>
      <c r="AK12" s="26" t="n">
        <f aca="false">COUNTIF(C12:AF12,2)</f>
        <v>0</v>
      </c>
      <c r="AL12" s="26" t="n">
        <f aca="false">COUNTIF(C12:AF12,1)</f>
        <v>0</v>
      </c>
    </row>
    <row r="13" customFormat="false" ht="40.5" hidden="false" customHeight="true" outlineLevel="0" collapsed="false">
      <c r="A13" s="26" t="n">
        <v>5</v>
      </c>
      <c r="B13" s="27" t="s">
        <v>258</v>
      </c>
      <c r="C13" s="28" t="n">
        <v>5</v>
      </c>
      <c r="D13" s="28" t="n">
        <v>5</v>
      </c>
      <c r="E13" s="28" t="n">
        <v>5</v>
      </c>
      <c r="F13" s="28" t="n">
        <v>5</v>
      </c>
      <c r="G13" s="28" t="n">
        <v>5</v>
      </c>
      <c r="H13" s="28" t="n">
        <v>5</v>
      </c>
      <c r="I13" s="28" t="n">
        <v>5</v>
      </c>
      <c r="J13" s="28" t="n">
        <v>5</v>
      </c>
      <c r="K13" s="28" t="n">
        <v>5</v>
      </c>
      <c r="L13" s="28" t="n">
        <v>4</v>
      </c>
      <c r="M13" s="28" t="n">
        <v>5</v>
      </c>
      <c r="N13" s="28" t="n">
        <v>5</v>
      </c>
      <c r="O13" s="28" t="n">
        <v>5</v>
      </c>
      <c r="P13" s="28" t="n">
        <v>5</v>
      </c>
      <c r="Q13" s="28" t="n">
        <v>4</v>
      </c>
      <c r="R13" s="28" t="n">
        <v>4</v>
      </c>
      <c r="S13" s="28" t="n">
        <v>4</v>
      </c>
      <c r="T13" s="28" t="n">
        <v>4</v>
      </c>
      <c r="U13" s="28" t="n">
        <v>5</v>
      </c>
      <c r="V13" s="28" t="n">
        <v>4</v>
      </c>
      <c r="W13" s="28" t="n">
        <v>5</v>
      </c>
      <c r="X13" s="28" t="n">
        <v>5</v>
      </c>
      <c r="Y13" s="28" t="n">
        <v>5</v>
      </c>
      <c r="Z13" s="28" t="n">
        <v>5</v>
      </c>
      <c r="AA13" s="28" t="n">
        <v>5</v>
      </c>
      <c r="AB13" s="28" t="n">
        <v>5</v>
      </c>
      <c r="AC13" s="28" t="n">
        <v>5</v>
      </c>
      <c r="AD13" s="28" t="n">
        <v>5</v>
      </c>
      <c r="AE13" s="28" t="n">
        <v>5</v>
      </c>
      <c r="AF13" s="28" t="n">
        <v>5</v>
      </c>
      <c r="AG13" s="29" t="n">
        <f aca="false">(5*AH13+4*AI13+3*AJ13+2*AK13+1*AL13)/SUM(AH13:AL13)</f>
        <v>4.8</v>
      </c>
      <c r="AH13" s="26" t="n">
        <f aca="false">COUNTIF(C13:AF13,5)</f>
        <v>24</v>
      </c>
      <c r="AI13" s="26" t="n">
        <f aca="false">COUNTIF(C13:AF13,4)</f>
        <v>6</v>
      </c>
      <c r="AJ13" s="26" t="n">
        <f aca="false">COUNTIF(C13:AF13,3)</f>
        <v>0</v>
      </c>
      <c r="AK13" s="26" t="n">
        <f aca="false">COUNTIF(C13:AF13,2)</f>
        <v>0</v>
      </c>
      <c r="AL13" s="26" t="n">
        <f aca="false">COUNTIF(C13:AF13,1)</f>
        <v>0</v>
      </c>
    </row>
    <row r="14" customFormat="false" ht="40.5" hidden="false" customHeight="true" outlineLevel="0" collapsed="false">
      <c r="A14" s="26" t="n">
        <v>6</v>
      </c>
      <c r="B14" s="27" t="s">
        <v>259</v>
      </c>
      <c r="C14" s="28" t="n">
        <v>5</v>
      </c>
      <c r="D14" s="28" t="n">
        <v>5</v>
      </c>
      <c r="E14" s="28" t="n">
        <v>5</v>
      </c>
      <c r="F14" s="28" t="n">
        <v>5</v>
      </c>
      <c r="G14" s="28" t="n">
        <v>5</v>
      </c>
      <c r="H14" s="28" t="n">
        <v>5</v>
      </c>
      <c r="I14" s="28" t="n">
        <v>5</v>
      </c>
      <c r="J14" s="28" t="n">
        <v>5</v>
      </c>
      <c r="K14" s="28" t="n">
        <v>5</v>
      </c>
      <c r="L14" s="28" t="n">
        <v>3</v>
      </c>
      <c r="M14" s="28" t="n">
        <v>5</v>
      </c>
      <c r="N14" s="28" t="n">
        <v>5</v>
      </c>
      <c r="O14" s="28" t="n">
        <v>5</v>
      </c>
      <c r="P14" s="28" t="n">
        <v>5</v>
      </c>
      <c r="Q14" s="28" t="n">
        <v>3</v>
      </c>
      <c r="R14" s="28" t="n">
        <v>4</v>
      </c>
      <c r="S14" s="28" t="n">
        <v>3</v>
      </c>
      <c r="T14" s="28" t="n">
        <v>4</v>
      </c>
      <c r="U14" s="28" t="n">
        <v>5</v>
      </c>
      <c r="V14" s="28" t="n">
        <v>3</v>
      </c>
      <c r="W14" s="28" t="n">
        <v>5</v>
      </c>
      <c r="X14" s="28" t="n">
        <v>5</v>
      </c>
      <c r="Y14" s="28" t="n">
        <v>5</v>
      </c>
      <c r="Z14" s="28" t="n">
        <v>5</v>
      </c>
      <c r="AA14" s="28" t="n">
        <v>5</v>
      </c>
      <c r="AB14" s="28" t="n">
        <v>5</v>
      </c>
      <c r="AC14" s="28" t="n">
        <v>5</v>
      </c>
      <c r="AD14" s="28" t="n">
        <v>5</v>
      </c>
      <c r="AE14" s="28" t="n">
        <v>5</v>
      </c>
      <c r="AF14" s="28" t="n">
        <v>5</v>
      </c>
      <c r="AG14" s="29" t="n">
        <f aca="false">(5*AH14+4*AI14+3*AJ14+2*AK14+1*AL14)/SUM(AH14:AL14)</f>
        <v>4.66666666666667</v>
      </c>
      <c r="AH14" s="26" t="n">
        <f aca="false">COUNTIF(C14:AF14,5)</f>
        <v>24</v>
      </c>
      <c r="AI14" s="26" t="n">
        <f aca="false">COUNTIF(C14:AF14,4)</f>
        <v>2</v>
      </c>
      <c r="AJ14" s="26" t="n">
        <f aca="false">COUNTIF(C14:AF14,3)</f>
        <v>4</v>
      </c>
      <c r="AK14" s="26" t="n">
        <f aca="false">COUNTIF(C14:AF14,2)</f>
        <v>0</v>
      </c>
      <c r="AL14" s="26" t="n">
        <f aca="false">COUNTIF(C14:AF14,1)</f>
        <v>0</v>
      </c>
    </row>
    <row r="15" customFormat="false" ht="15" hidden="false" customHeight="true" outlineLevel="0" collapsed="false">
      <c r="A15" s="30" t="s">
        <v>189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1" t="n">
        <f aca="false">AVERAGE(AG12:AG14)</f>
        <v>4.72222222222222</v>
      </c>
      <c r="AH15" s="32"/>
      <c r="AI15" s="32"/>
      <c r="AJ15" s="32"/>
      <c r="AK15" s="32"/>
      <c r="AL15" s="32"/>
    </row>
    <row r="16" customFormat="false" ht="15" hidden="false" customHeight="true" outlineLevel="0" collapsed="false">
      <c r="A16" s="25" t="s">
        <v>195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customFormat="false" ht="40.5" hidden="false" customHeight="true" outlineLevel="0" collapsed="false">
      <c r="A17" s="26" t="n">
        <v>7</v>
      </c>
      <c r="B17" s="27" t="s">
        <v>260</v>
      </c>
      <c r="C17" s="28" t="n">
        <v>5</v>
      </c>
      <c r="D17" s="28" t="n">
        <v>5</v>
      </c>
      <c r="E17" s="28" t="n">
        <v>5</v>
      </c>
      <c r="F17" s="28" t="n">
        <v>5</v>
      </c>
      <c r="G17" s="28" t="n">
        <v>4</v>
      </c>
      <c r="H17" s="28" t="n">
        <v>5</v>
      </c>
      <c r="I17" s="28" t="n">
        <v>5</v>
      </c>
      <c r="J17" s="28" t="n">
        <v>5</v>
      </c>
      <c r="K17" s="28" t="n">
        <v>5</v>
      </c>
      <c r="L17" s="28" t="n">
        <v>3</v>
      </c>
      <c r="M17" s="28" t="n">
        <v>5</v>
      </c>
      <c r="N17" s="28" t="n">
        <v>5</v>
      </c>
      <c r="O17" s="28" t="n">
        <v>4</v>
      </c>
      <c r="P17" s="28" t="n">
        <v>5</v>
      </c>
      <c r="Q17" s="28" t="n">
        <v>4</v>
      </c>
      <c r="R17" s="28" t="n">
        <v>3</v>
      </c>
      <c r="S17" s="28" t="n">
        <v>3</v>
      </c>
      <c r="T17" s="28" t="n">
        <v>4</v>
      </c>
      <c r="U17" s="28" t="n">
        <v>5</v>
      </c>
      <c r="V17" s="28" t="n">
        <v>2</v>
      </c>
      <c r="W17" s="28" t="n">
        <v>5</v>
      </c>
      <c r="X17" s="28" t="n">
        <v>5</v>
      </c>
      <c r="Y17" s="28" t="n">
        <v>5</v>
      </c>
      <c r="Z17" s="28" t="n">
        <v>5</v>
      </c>
      <c r="AA17" s="28" t="n">
        <v>5</v>
      </c>
      <c r="AB17" s="28" t="n">
        <v>5</v>
      </c>
      <c r="AC17" s="28" t="n">
        <v>5</v>
      </c>
      <c r="AD17" s="28" t="n">
        <v>5</v>
      </c>
      <c r="AE17" s="28" t="n">
        <v>5</v>
      </c>
      <c r="AF17" s="28" t="n">
        <v>4</v>
      </c>
      <c r="AG17" s="29" t="n">
        <f aca="false">(5*AH17+4*AI17+3*AJ17+2*AK17+1*AL17)/SUM(AH17:AL17)</f>
        <v>4.53333333333333</v>
      </c>
      <c r="AH17" s="26" t="n">
        <f aca="false">COUNTIF(C17:AF17,5)</f>
        <v>21</v>
      </c>
      <c r="AI17" s="26" t="n">
        <f aca="false">COUNTIF(C17:AF17,4)</f>
        <v>5</v>
      </c>
      <c r="AJ17" s="26" t="n">
        <f aca="false">COUNTIF(C17:AF17,3)</f>
        <v>3</v>
      </c>
      <c r="AK17" s="26" t="n">
        <f aca="false">COUNTIF(C17:AF17,2)</f>
        <v>1</v>
      </c>
      <c r="AL17" s="26" t="n">
        <f aca="false">COUNTIF(C17:AF17,1)</f>
        <v>0</v>
      </c>
    </row>
    <row r="18" customFormat="false" ht="54" hidden="false" customHeight="true" outlineLevel="0" collapsed="false">
      <c r="A18" s="26" t="n">
        <v>8</v>
      </c>
      <c r="B18" s="27" t="s">
        <v>261</v>
      </c>
      <c r="C18" s="28" t="n">
        <v>5</v>
      </c>
      <c r="D18" s="28" t="n">
        <v>5</v>
      </c>
      <c r="E18" s="28" t="n">
        <v>5</v>
      </c>
      <c r="F18" s="28" t="n">
        <v>5</v>
      </c>
      <c r="G18" s="28" t="n">
        <v>5</v>
      </c>
      <c r="H18" s="28" t="n">
        <v>5</v>
      </c>
      <c r="I18" s="28" t="n">
        <v>5</v>
      </c>
      <c r="J18" s="28" t="n">
        <v>5</v>
      </c>
      <c r="K18" s="28" t="n">
        <v>5</v>
      </c>
      <c r="L18" s="28" t="n">
        <v>4</v>
      </c>
      <c r="M18" s="28" t="n">
        <v>5</v>
      </c>
      <c r="N18" s="28" t="n">
        <v>5</v>
      </c>
      <c r="O18" s="28" t="n">
        <v>5</v>
      </c>
      <c r="P18" s="28" t="n">
        <v>5</v>
      </c>
      <c r="Q18" s="28" t="n">
        <v>3</v>
      </c>
      <c r="R18" s="28" t="n">
        <v>4</v>
      </c>
      <c r="S18" s="28" t="n">
        <v>4</v>
      </c>
      <c r="T18" s="28" t="n">
        <v>4</v>
      </c>
      <c r="U18" s="28" t="n">
        <v>5</v>
      </c>
      <c r="V18" s="28" t="n">
        <v>3</v>
      </c>
      <c r="W18" s="28" t="n">
        <v>5</v>
      </c>
      <c r="X18" s="28" t="n">
        <v>4</v>
      </c>
      <c r="Y18" s="28" t="n">
        <v>5</v>
      </c>
      <c r="Z18" s="28" t="n">
        <v>5</v>
      </c>
      <c r="AA18" s="28" t="n">
        <v>5</v>
      </c>
      <c r="AB18" s="28" t="n">
        <v>5</v>
      </c>
      <c r="AC18" s="28" t="n">
        <v>5</v>
      </c>
      <c r="AD18" s="28" t="n">
        <v>5</v>
      </c>
      <c r="AE18" s="28" t="n">
        <v>5</v>
      </c>
      <c r="AF18" s="28" t="n">
        <v>4</v>
      </c>
      <c r="AG18" s="29" t="n">
        <f aca="false">(5*AH18+4*AI18+3*AJ18+2*AK18+1*AL18)/SUM(AH18:AL18)</f>
        <v>4.66666666666667</v>
      </c>
      <c r="AH18" s="26" t="n">
        <f aca="false">COUNTIF(C18:AF18,5)</f>
        <v>22</v>
      </c>
      <c r="AI18" s="26" t="n">
        <f aca="false">COUNTIF(C18:AF18,4)</f>
        <v>6</v>
      </c>
      <c r="AJ18" s="26" t="n">
        <f aca="false">COUNTIF(C18:AF18,3)</f>
        <v>2</v>
      </c>
      <c r="AK18" s="26" t="n">
        <f aca="false">COUNTIF(C18:AF18,2)</f>
        <v>0</v>
      </c>
      <c r="AL18" s="26" t="n">
        <f aca="false">COUNTIF(C18:AF18,1)</f>
        <v>0</v>
      </c>
    </row>
    <row r="19" customFormat="false" ht="40.5" hidden="false" customHeight="true" outlineLevel="0" collapsed="false">
      <c r="A19" s="26" t="n">
        <v>9</v>
      </c>
      <c r="B19" s="27" t="s">
        <v>262</v>
      </c>
      <c r="C19" s="28" t="n">
        <v>3</v>
      </c>
      <c r="D19" s="28" t="n">
        <v>5</v>
      </c>
      <c r="E19" s="28" t="n">
        <v>4</v>
      </c>
      <c r="F19" s="28" t="n">
        <v>5</v>
      </c>
      <c r="G19" s="28" t="n">
        <v>4</v>
      </c>
      <c r="H19" s="28" t="n">
        <v>4</v>
      </c>
      <c r="I19" s="28" t="n">
        <v>4</v>
      </c>
      <c r="J19" s="28" t="n">
        <v>2</v>
      </c>
      <c r="K19" s="28" t="n">
        <v>4</v>
      </c>
      <c r="L19" s="28" t="n">
        <v>1</v>
      </c>
      <c r="M19" s="28" t="n">
        <v>4</v>
      </c>
      <c r="N19" s="28" t="n">
        <v>4</v>
      </c>
      <c r="O19" s="28" t="n">
        <v>3</v>
      </c>
      <c r="P19" s="28" t="n">
        <v>3</v>
      </c>
      <c r="Q19" s="28" t="n">
        <v>1</v>
      </c>
      <c r="R19" s="28" t="n">
        <v>1</v>
      </c>
      <c r="S19" s="28" t="n">
        <v>1</v>
      </c>
      <c r="T19" s="28" t="n">
        <v>2</v>
      </c>
      <c r="U19" s="28" t="n">
        <v>5</v>
      </c>
      <c r="V19" s="28" t="n">
        <v>1</v>
      </c>
      <c r="W19" s="28" t="n">
        <v>2</v>
      </c>
      <c r="X19" s="28" t="n">
        <v>2</v>
      </c>
      <c r="Y19" s="28" t="n">
        <v>4</v>
      </c>
      <c r="Z19" s="28" t="n">
        <v>3</v>
      </c>
      <c r="AA19" s="28" t="n">
        <v>5</v>
      </c>
      <c r="AB19" s="28" t="n">
        <v>5</v>
      </c>
      <c r="AC19" s="28" t="n">
        <v>4</v>
      </c>
      <c r="AD19" s="28" t="n">
        <v>5</v>
      </c>
      <c r="AE19" s="28" t="n">
        <v>3</v>
      </c>
      <c r="AF19" s="28" t="n">
        <v>3</v>
      </c>
      <c r="AG19" s="29" t="n">
        <f aca="false">(5*AH19+4*AI19+3*AJ19+2*AK19+1*AL19)/SUM(AH19:AL19)</f>
        <v>3.23333333333333</v>
      </c>
      <c r="AH19" s="26" t="n">
        <f aca="false">COUNTIF(C19:AF19,5)</f>
        <v>6</v>
      </c>
      <c r="AI19" s="26" t="n">
        <f aca="false">COUNTIF(C19:AF19,4)</f>
        <v>9</v>
      </c>
      <c r="AJ19" s="26" t="n">
        <f aca="false">COUNTIF(C19:AF19,3)</f>
        <v>6</v>
      </c>
      <c r="AK19" s="26" t="n">
        <f aca="false">COUNTIF(C19:AF19,2)</f>
        <v>4</v>
      </c>
      <c r="AL19" s="26" t="n">
        <f aca="false">COUNTIF(C19:AF19,1)</f>
        <v>5</v>
      </c>
    </row>
    <row r="20" customFormat="false" ht="15" hidden="false" customHeight="true" outlineLevel="0" collapsed="false">
      <c r="A20" s="30" t="s">
        <v>199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1" t="n">
        <f aca="false">AVERAGE(AG17:AG19)</f>
        <v>4.14444444444445</v>
      </c>
      <c r="AH20" s="32"/>
      <c r="AI20" s="32"/>
      <c r="AJ20" s="32"/>
      <c r="AK20" s="32"/>
      <c r="AL20" s="32"/>
    </row>
    <row r="21" customFormat="false" ht="15" hidden="false" customHeight="true" outlineLevel="0" collapsed="false">
      <c r="A21" s="25" t="s">
        <v>200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40.5" hidden="false" customHeight="true" outlineLevel="0" collapsed="false">
      <c r="A22" s="26" t="n">
        <v>10</v>
      </c>
      <c r="B22" s="27" t="s">
        <v>263</v>
      </c>
      <c r="C22" s="28" t="n">
        <v>5</v>
      </c>
      <c r="D22" s="28" t="n">
        <v>5</v>
      </c>
      <c r="E22" s="28" t="n">
        <v>5</v>
      </c>
      <c r="F22" s="28" t="n">
        <v>5</v>
      </c>
      <c r="G22" s="28" t="n">
        <v>5</v>
      </c>
      <c r="H22" s="28" t="n">
        <v>5</v>
      </c>
      <c r="I22" s="28" t="n">
        <v>5</v>
      </c>
      <c r="J22" s="28" t="n">
        <v>5</v>
      </c>
      <c r="K22" s="28" t="n">
        <v>5</v>
      </c>
      <c r="L22" s="28" t="n">
        <v>4</v>
      </c>
      <c r="M22" s="28" t="n">
        <v>5</v>
      </c>
      <c r="N22" s="28" t="n">
        <v>5</v>
      </c>
      <c r="O22" s="28" t="n">
        <v>4</v>
      </c>
      <c r="P22" s="28" t="n">
        <v>4</v>
      </c>
      <c r="Q22" s="28" t="n">
        <v>3</v>
      </c>
      <c r="R22" s="28" t="n">
        <v>4</v>
      </c>
      <c r="S22" s="28" t="n">
        <v>3</v>
      </c>
      <c r="T22" s="28" t="n">
        <v>4</v>
      </c>
      <c r="U22" s="28" t="n">
        <v>5</v>
      </c>
      <c r="V22" s="28" t="n">
        <v>4</v>
      </c>
      <c r="W22" s="28" t="n">
        <v>5</v>
      </c>
      <c r="X22" s="28" t="n">
        <v>5</v>
      </c>
      <c r="Y22" s="28" t="n">
        <v>5</v>
      </c>
      <c r="Z22" s="28" t="n">
        <v>5</v>
      </c>
      <c r="AA22" s="28" t="n">
        <v>5</v>
      </c>
      <c r="AB22" s="28" t="n">
        <v>5</v>
      </c>
      <c r="AC22" s="28" t="n">
        <v>5</v>
      </c>
      <c r="AD22" s="28" t="n">
        <v>5</v>
      </c>
      <c r="AE22" s="28" t="n">
        <v>5</v>
      </c>
      <c r="AF22" s="28" t="n">
        <v>5</v>
      </c>
      <c r="AG22" s="29" t="n">
        <f aca="false">(5*AH22+4*AI22+3*AJ22+2*AK22+1*AL22)/SUM(AH22:AL22)</f>
        <v>4.66666666666667</v>
      </c>
      <c r="AH22" s="26" t="n">
        <f aca="false">COUNTIF(C22:AF22,5)</f>
        <v>22</v>
      </c>
      <c r="AI22" s="26" t="n">
        <f aca="false">COUNTIF(C22:AF22,4)</f>
        <v>6</v>
      </c>
      <c r="AJ22" s="26" t="n">
        <f aca="false">COUNTIF(C22:AF22,3)</f>
        <v>2</v>
      </c>
      <c r="AK22" s="26" t="n">
        <f aca="false">COUNTIF(C22:AF22,2)</f>
        <v>0</v>
      </c>
      <c r="AL22" s="26" t="n">
        <f aca="false">COUNTIF(C22:AF22,1)</f>
        <v>0</v>
      </c>
    </row>
    <row r="23" customFormat="false" ht="40.5" hidden="false" customHeight="true" outlineLevel="0" collapsed="false">
      <c r="A23" s="26" t="n">
        <v>11</v>
      </c>
      <c r="B23" s="27" t="s">
        <v>264</v>
      </c>
      <c r="C23" s="28" t="n">
        <v>5</v>
      </c>
      <c r="D23" s="28" t="n">
        <v>5</v>
      </c>
      <c r="E23" s="28" t="n">
        <v>5</v>
      </c>
      <c r="F23" s="28" t="n">
        <v>5</v>
      </c>
      <c r="G23" s="28" t="n">
        <v>5</v>
      </c>
      <c r="H23" s="28" t="n">
        <v>5</v>
      </c>
      <c r="I23" s="28" t="n">
        <v>5</v>
      </c>
      <c r="J23" s="28" t="n">
        <v>5</v>
      </c>
      <c r="K23" s="28" t="n">
        <v>5</v>
      </c>
      <c r="L23" s="28" t="n">
        <v>3</v>
      </c>
      <c r="M23" s="28" t="n">
        <v>5</v>
      </c>
      <c r="N23" s="28" t="n">
        <v>5</v>
      </c>
      <c r="O23" s="28" t="n">
        <v>3</v>
      </c>
      <c r="P23" s="28" t="n">
        <v>5</v>
      </c>
      <c r="Q23" s="28" t="n">
        <v>3</v>
      </c>
      <c r="R23" s="28" t="n">
        <v>4</v>
      </c>
      <c r="S23" s="28" t="n">
        <v>3</v>
      </c>
      <c r="T23" s="28" t="n">
        <v>4</v>
      </c>
      <c r="U23" s="28" t="n">
        <v>5</v>
      </c>
      <c r="V23" s="28" t="n">
        <v>4</v>
      </c>
      <c r="W23" s="28" t="n">
        <v>5</v>
      </c>
      <c r="X23" s="28" t="n">
        <v>5</v>
      </c>
      <c r="Y23" s="28" t="n">
        <v>5</v>
      </c>
      <c r="Z23" s="28" t="n">
        <v>5</v>
      </c>
      <c r="AA23" s="28" t="n">
        <v>5</v>
      </c>
      <c r="AB23" s="28" t="n">
        <v>5</v>
      </c>
      <c r="AC23" s="28" t="n">
        <v>5</v>
      </c>
      <c r="AD23" s="28" t="n">
        <v>5</v>
      </c>
      <c r="AE23" s="28" t="n">
        <v>5</v>
      </c>
      <c r="AF23" s="28" t="n">
        <v>5</v>
      </c>
      <c r="AG23" s="29" t="n">
        <f aca="false">(5*AH23+4*AI23+3*AJ23+2*AK23+1*AL23)/SUM(AH23:AL23)</f>
        <v>4.63333333333333</v>
      </c>
      <c r="AH23" s="26" t="n">
        <f aca="false">COUNTIF(C23:AF23,5)</f>
        <v>23</v>
      </c>
      <c r="AI23" s="26" t="n">
        <f aca="false">COUNTIF(C23:AF23,4)</f>
        <v>3</v>
      </c>
      <c r="AJ23" s="26" t="n">
        <f aca="false">COUNTIF(C23:AF23,3)</f>
        <v>4</v>
      </c>
      <c r="AK23" s="26" t="n">
        <f aca="false">COUNTIF(C23:AF23,2)</f>
        <v>0</v>
      </c>
      <c r="AL23" s="26" t="n">
        <f aca="false">COUNTIF(C23:AF23,1)</f>
        <v>0</v>
      </c>
    </row>
    <row r="24" customFormat="false" ht="40.5" hidden="false" customHeight="true" outlineLevel="0" collapsed="false">
      <c r="A24" s="26" t="n">
        <v>12</v>
      </c>
      <c r="B24" s="27" t="s">
        <v>265</v>
      </c>
      <c r="C24" s="28" t="n">
        <v>5</v>
      </c>
      <c r="D24" s="28" t="n">
        <v>5</v>
      </c>
      <c r="E24" s="28" t="n">
        <v>5</v>
      </c>
      <c r="F24" s="28" t="n">
        <v>5</v>
      </c>
      <c r="G24" s="28" t="n">
        <v>5</v>
      </c>
      <c r="H24" s="28" t="n">
        <v>5</v>
      </c>
      <c r="I24" s="28" t="n">
        <v>5</v>
      </c>
      <c r="J24" s="28" t="n">
        <v>5</v>
      </c>
      <c r="K24" s="28" t="n">
        <v>5</v>
      </c>
      <c r="L24" s="28" t="n">
        <v>4</v>
      </c>
      <c r="M24" s="28" t="n">
        <v>5</v>
      </c>
      <c r="N24" s="28" t="n">
        <v>5</v>
      </c>
      <c r="O24" s="28" t="n">
        <v>5</v>
      </c>
      <c r="P24" s="28" t="n">
        <v>5</v>
      </c>
      <c r="Q24" s="28" t="n">
        <v>5</v>
      </c>
      <c r="R24" s="28" t="n">
        <v>4</v>
      </c>
      <c r="S24" s="28" t="n">
        <v>4</v>
      </c>
      <c r="T24" s="28" t="n">
        <v>4</v>
      </c>
      <c r="U24" s="28" t="n">
        <v>5</v>
      </c>
      <c r="V24" s="28" t="n">
        <v>5</v>
      </c>
      <c r="W24" s="28" t="n">
        <v>5</v>
      </c>
      <c r="X24" s="28" t="n">
        <v>5</v>
      </c>
      <c r="Y24" s="28" t="n">
        <v>5</v>
      </c>
      <c r="Z24" s="28" t="n">
        <v>5</v>
      </c>
      <c r="AA24" s="28" t="n">
        <v>5</v>
      </c>
      <c r="AB24" s="28" t="n">
        <v>5</v>
      </c>
      <c r="AC24" s="28" t="n">
        <v>5</v>
      </c>
      <c r="AD24" s="28" t="n">
        <v>5</v>
      </c>
      <c r="AE24" s="28" t="n">
        <v>5</v>
      </c>
      <c r="AF24" s="28" t="n">
        <v>5</v>
      </c>
      <c r="AG24" s="29" t="n">
        <f aca="false">(5*AH24+4*AI24+3*AJ24+2*AK24+1*AL24)/SUM(AH24:AL24)</f>
        <v>4.86666666666667</v>
      </c>
      <c r="AH24" s="26" t="n">
        <f aca="false">COUNTIF(C24:AF24,5)</f>
        <v>26</v>
      </c>
      <c r="AI24" s="26" t="n">
        <f aca="false">COUNTIF(C24:AF24,4)</f>
        <v>4</v>
      </c>
      <c r="AJ24" s="26" t="n">
        <f aca="false">COUNTIF(C24:AF24,3)</f>
        <v>0</v>
      </c>
      <c r="AK24" s="26" t="n">
        <f aca="false">COUNTIF(C24:AF24,2)</f>
        <v>0</v>
      </c>
      <c r="AL24" s="26" t="n">
        <f aca="false">COUNTIF(C24:AF24,1)</f>
        <v>0</v>
      </c>
    </row>
    <row r="25" customFormat="false" ht="15" hidden="false" customHeight="true" outlineLevel="0" collapsed="false">
      <c r="A25" s="30" t="s">
        <v>204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1" t="n">
        <f aca="false">AVERAGE(AG22:AG24)</f>
        <v>4.72222222222222</v>
      </c>
      <c r="AH25" s="32"/>
      <c r="AI25" s="32"/>
      <c r="AJ25" s="32"/>
      <c r="AK25" s="32"/>
      <c r="AL25" s="32"/>
    </row>
    <row r="27" customFormat="false" ht="15" hidden="false" customHeight="true" outlineLevel="0" collapsed="false">
      <c r="A27" s="33" t="s">
        <v>220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4" t="n">
        <f aca="false">(AVERAGE(AG7:AG9)+AVERAGE(AG12:AG14)+AVERAGE(AG17:AG19)+AVERAGE(AG22:AG24))/4</f>
        <v>4.54166666666667</v>
      </c>
      <c r="AH27" s="35" t="n">
        <f aca="false">COUNTIF(C7:AF9,5)+COUNTIF(C12:AF14,5)+COUNTIF(C17:AF19,5)+COUNTIF(C22:AF24,5)</f>
        <v>253</v>
      </c>
      <c r="AI27" s="35" t="n">
        <f aca="false">COUNTIF(C7:AF9,4)+COUNTIF(C12:AF14,4)+COUNTIF(C17:AF19,4)+COUNTIF(C22:AF24,4)</f>
        <v>64</v>
      </c>
      <c r="AJ27" s="35" t="n">
        <f aca="false">COUNTIF(C7:AF9,3)+COUNTIF(C12:AF14,3)+COUNTIF(C17:AF19,3)+COUNTIF(C22:AF24,3)</f>
        <v>33</v>
      </c>
      <c r="AK27" s="35" t="n">
        <f aca="false">COUNTIF(C7:AF9,2)+COUNTIF(C12:AF14,2)+COUNTIF(C17:AF19,2)+COUNTIF(C22:AF24,2)</f>
        <v>5</v>
      </c>
      <c r="AL27" s="35" t="n">
        <f aca="false">COUNTIF(C7:AF9,1)+COUNTIF(C12:AF14,1)+COUNTIF(C17:AF19,1)+COUNTIF(C22:AF24,1)</f>
        <v>5</v>
      </c>
    </row>
  </sheetData>
  <mergeCells count="12">
    <mergeCell ref="A1:AL1"/>
    <mergeCell ref="A2:AL2"/>
    <mergeCell ref="A3:AL3"/>
    <mergeCell ref="A6:AL6"/>
    <mergeCell ref="A10:AF10"/>
    <mergeCell ref="A11:AL11"/>
    <mergeCell ref="A15:AF15"/>
    <mergeCell ref="A16:AL16"/>
    <mergeCell ref="A20:AF20"/>
    <mergeCell ref="A21:AL21"/>
    <mergeCell ref="A25:AF25"/>
    <mergeCell ref="A27:A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14" activeCellId="0" sqref="B14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5"/>
    <col collapsed="false" customWidth="true" hidden="false" outlineLevel="0" max="11" min="2" style="1" width="6.54"/>
    <col collapsed="false" customWidth="true" hidden="false" outlineLevel="0" max="12" min="12" style="1" width="8"/>
    <col collapsed="false" customWidth="true" hidden="false" outlineLevel="0" max="13" min="13" style="1" width="22"/>
  </cols>
  <sheetData>
    <row r="1" customFormat="false" ht="14.25" hidden="false" customHeight="true" outlineLevel="0" collapsed="false">
      <c r="A1" s="2" t="s">
        <v>0</v>
      </c>
    </row>
    <row r="2" customFormat="false" ht="26.25" hidden="false" customHeight="true" outlineLevel="0" collapsed="false">
      <c r="A2" s="36" t="s">
        <v>266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customFormat="false" ht="39.75" hidden="false" customHeight="true" outlineLevel="0" collapsed="false">
      <c r="A3" s="37" t="s">
        <v>168</v>
      </c>
      <c r="B3" s="5" t="s">
        <v>267</v>
      </c>
      <c r="C3" s="5"/>
      <c r="D3" s="5" t="s">
        <v>268</v>
      </c>
      <c r="E3" s="5"/>
      <c r="F3" s="5" t="s">
        <v>269</v>
      </c>
      <c r="G3" s="5"/>
      <c r="H3" s="5" t="s">
        <v>270</v>
      </c>
      <c r="I3" s="5"/>
      <c r="J3" s="5" t="s">
        <v>271</v>
      </c>
      <c r="K3" s="5"/>
      <c r="L3" s="37" t="s">
        <v>174</v>
      </c>
      <c r="M3" s="37" t="s">
        <v>18</v>
      </c>
    </row>
    <row r="4" customFormat="false" ht="14.25" hidden="false" customHeight="true" outlineLevel="0" collapsed="false">
      <c r="A4" s="37"/>
      <c r="B4" s="38" t="s">
        <v>272</v>
      </c>
      <c r="C4" s="38" t="s">
        <v>273</v>
      </c>
      <c r="D4" s="38" t="s">
        <v>272</v>
      </c>
      <c r="E4" s="38" t="s">
        <v>273</v>
      </c>
      <c r="F4" s="38" t="s">
        <v>272</v>
      </c>
      <c r="G4" s="38" t="s">
        <v>273</v>
      </c>
      <c r="H4" s="38" t="s">
        <v>272</v>
      </c>
      <c r="I4" s="38" t="s">
        <v>273</v>
      </c>
      <c r="J4" s="38" t="s">
        <v>272</v>
      </c>
      <c r="K4" s="38" t="s">
        <v>273</v>
      </c>
      <c r="L4" s="37"/>
      <c r="M4" s="37"/>
    </row>
    <row r="5" customFormat="false" ht="38.25" hidden="false" customHeight="true" outlineLevel="0" collapsed="false">
      <c r="A5" s="6" t="s">
        <v>181</v>
      </c>
      <c r="B5" s="7" t="n">
        <f aca="false">'IT Experts'!I7</f>
        <v>5</v>
      </c>
      <c r="C5" s="39" t="n">
        <f aca="false">'IT Experts'!I7/COUNT('IT Experts'!$C7:$G7)</f>
        <v>1</v>
      </c>
      <c r="D5" s="7" t="n">
        <f aca="false">'IT Experts'!J7</f>
        <v>0</v>
      </c>
      <c r="E5" s="39" t="n">
        <f aca="false">'IT Experts'!J7/COUNT('IT Experts'!$C7:$G7)</f>
        <v>0</v>
      </c>
      <c r="F5" s="7" t="n">
        <f aca="false">'IT Experts'!K7</f>
        <v>0</v>
      </c>
      <c r="G5" s="39" t="n">
        <f aca="false">'IT Experts'!K7/COUNT('IT Experts'!$C7:$G7)</f>
        <v>0</v>
      </c>
      <c r="H5" s="7" t="n">
        <f aca="false">'IT Experts'!L7</f>
        <v>0</v>
      </c>
      <c r="I5" s="39" t="n">
        <f aca="false">'IT Experts'!L7/COUNT('IT Experts'!$C7:$G7)</f>
        <v>0</v>
      </c>
      <c r="J5" s="7" t="n">
        <f aca="false">'IT Experts'!M7</f>
        <v>0</v>
      </c>
      <c r="K5" s="39" t="n">
        <f aca="false">'IT Experts'!M7/COUNT('IT Experts'!$C7:$G7)</f>
        <v>0</v>
      </c>
      <c r="L5" s="40" t="n">
        <f aca="false">'IT Experts'!H7</f>
        <v>5</v>
      </c>
      <c r="M5" s="7" t="str">
        <f aca="false">IF('IT Experts'!H7&gt;='Scoring Rubrics'!$A$6,'Scoring Rubrics'!$C$6,IF('IT Experts'!H7&gt;='Scoring Rubrics'!$A$7,'Scoring Rubrics'!$C$7,IF('IT Experts'!H7&gt;='Scoring Rubrics'!$A$8,'Scoring Rubrics'!$C$8,IF('IT Experts'!H7&gt;='Scoring Rubrics'!$A$9,'Scoring Rubrics'!$C$9,'Scoring Rubrics'!$C$10))))</f>
        <v>Highly Suitable</v>
      </c>
    </row>
    <row r="6" customFormat="false" ht="51" hidden="false" customHeight="true" outlineLevel="0" collapsed="false">
      <c r="A6" s="6" t="s">
        <v>182</v>
      </c>
      <c r="B6" s="7" t="n">
        <f aca="false">'IT Experts'!I8</f>
        <v>4</v>
      </c>
      <c r="C6" s="39" t="n">
        <f aca="false">'IT Experts'!I8/COUNT('IT Experts'!$C8:$G8)</f>
        <v>0.8</v>
      </c>
      <c r="D6" s="7" t="n">
        <f aca="false">'IT Experts'!J8</f>
        <v>1</v>
      </c>
      <c r="E6" s="39" t="n">
        <f aca="false">'IT Experts'!J8/COUNT('IT Experts'!$C8:$G8)</f>
        <v>0.2</v>
      </c>
      <c r="F6" s="7" t="n">
        <f aca="false">'IT Experts'!K8</f>
        <v>0</v>
      </c>
      <c r="G6" s="39" t="n">
        <f aca="false">'IT Experts'!K8/COUNT('IT Experts'!$C8:$G8)</f>
        <v>0</v>
      </c>
      <c r="H6" s="7" t="n">
        <f aca="false">'IT Experts'!L8</f>
        <v>0</v>
      </c>
      <c r="I6" s="39" t="n">
        <f aca="false">'IT Experts'!L8/COUNT('IT Experts'!$C8:$G8)</f>
        <v>0</v>
      </c>
      <c r="J6" s="7" t="n">
        <f aca="false">'IT Experts'!M8</f>
        <v>0</v>
      </c>
      <c r="K6" s="39" t="n">
        <f aca="false">'IT Experts'!M8/COUNT('IT Experts'!$C8:$G8)</f>
        <v>0</v>
      </c>
      <c r="L6" s="40" t="n">
        <f aca="false">'IT Experts'!H8</f>
        <v>4.8</v>
      </c>
      <c r="M6" s="7" t="str">
        <f aca="false">IF('IT Experts'!H8&gt;='Scoring Rubrics'!$A$6,'Scoring Rubrics'!$C$6,IF('IT Experts'!H8&gt;='Scoring Rubrics'!$A$7,'Scoring Rubrics'!$C$7,IF('IT Experts'!H8&gt;='Scoring Rubrics'!$A$8,'Scoring Rubrics'!$C$8,IF('IT Experts'!H8&gt;='Scoring Rubrics'!$A$9,'Scoring Rubrics'!$C$9,'Scoring Rubrics'!$C$10))))</f>
        <v>Highly Suitable</v>
      </c>
    </row>
    <row r="7" customFormat="false" ht="51" hidden="false" customHeight="true" outlineLevel="0" collapsed="false">
      <c r="A7" s="6" t="s">
        <v>183</v>
      </c>
      <c r="B7" s="7" t="n">
        <f aca="false">'IT Experts'!I9</f>
        <v>4</v>
      </c>
      <c r="C7" s="39" t="n">
        <f aca="false">'IT Experts'!I9/COUNT('IT Experts'!$C9:$G9)</f>
        <v>0.8</v>
      </c>
      <c r="D7" s="7" t="n">
        <f aca="false">'IT Experts'!J9</f>
        <v>1</v>
      </c>
      <c r="E7" s="39" t="n">
        <f aca="false">'IT Experts'!J9/COUNT('IT Experts'!$C9:$G9)</f>
        <v>0.2</v>
      </c>
      <c r="F7" s="7" t="n">
        <f aca="false">'IT Experts'!K9</f>
        <v>0</v>
      </c>
      <c r="G7" s="39" t="n">
        <f aca="false">'IT Experts'!K9/COUNT('IT Experts'!$C9:$G9)</f>
        <v>0</v>
      </c>
      <c r="H7" s="7" t="n">
        <f aca="false">'IT Experts'!L9</f>
        <v>0</v>
      </c>
      <c r="I7" s="39" t="n">
        <f aca="false">'IT Experts'!L9/COUNT('IT Experts'!$C9:$G9)</f>
        <v>0</v>
      </c>
      <c r="J7" s="7" t="n">
        <f aca="false">'IT Experts'!M9</f>
        <v>0</v>
      </c>
      <c r="K7" s="39" t="n">
        <f aca="false">'IT Experts'!M9/COUNT('IT Experts'!$C9:$G9)</f>
        <v>0</v>
      </c>
      <c r="L7" s="40" t="n">
        <f aca="false">'IT Experts'!H9</f>
        <v>4.8</v>
      </c>
      <c r="M7" s="7" t="str">
        <f aca="false">IF('IT Experts'!H9&gt;='Scoring Rubrics'!$A$6,'Scoring Rubrics'!$C$6,IF('IT Experts'!H9&gt;='Scoring Rubrics'!$A$7,'Scoring Rubrics'!$C$7,IF('IT Experts'!H9&gt;='Scoring Rubrics'!$A$8,'Scoring Rubrics'!$C$8,IF('IT Experts'!H9&gt;='Scoring Rubrics'!$A$9,'Scoring Rubrics'!$C$9,'Scoring Rubrics'!$C$10))))</f>
        <v>Highly Suitable</v>
      </c>
    </row>
    <row r="8" customFormat="false" ht="14.25" hidden="false" customHeight="true" outlineLevel="0" collapsed="false">
      <c r="A8" s="41" t="s">
        <v>274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 t="n">
        <f aca="false">'IT Experts'!H10</f>
        <v>4.86666666666667</v>
      </c>
      <c r="M8" s="38" t="str">
        <f aca="false">IF('IT Experts'!H10&gt;='Scoring Rubrics'!$A$6,'Scoring Rubrics'!$C$6,IF('IT Experts'!H10&gt;='Scoring Rubrics'!$A$7,'Scoring Rubrics'!$C$7,IF('IT Experts'!H10&gt;='Scoring Rubrics'!$A$8,'Scoring Rubrics'!$C$8,IF('IT Experts'!H10&gt;='Scoring Rubrics'!$A$9,'Scoring Rubrics'!$C$9,'Scoring Rubrics'!$C$10))))</f>
        <v>Highly Suitable</v>
      </c>
    </row>
    <row r="9" customFormat="false" ht="37.5" hidden="false" customHeight="true" outlineLevel="0" collapsed="false">
      <c r="A9" s="43" t="s">
        <v>275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</row>
    <row r="12" customFormat="false" ht="14.25" hidden="false" customHeight="true" outlineLevel="0" collapsed="false">
      <c r="A12" s="2" t="s">
        <v>276</v>
      </c>
    </row>
    <row r="13" customFormat="false" ht="26.25" hidden="false" customHeight="true" outlineLevel="0" collapsed="false">
      <c r="A13" s="36" t="s">
        <v>277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customFormat="false" ht="39.75" hidden="false" customHeight="true" outlineLevel="0" collapsed="false">
      <c r="A14" s="37" t="s">
        <v>168</v>
      </c>
      <c r="B14" s="5" t="s">
        <v>267</v>
      </c>
      <c r="C14" s="5"/>
      <c r="D14" s="5" t="s">
        <v>268</v>
      </c>
      <c r="E14" s="5"/>
      <c r="F14" s="5" t="s">
        <v>269</v>
      </c>
      <c r="G14" s="5"/>
      <c r="H14" s="5" t="s">
        <v>270</v>
      </c>
      <c r="I14" s="5"/>
      <c r="J14" s="5" t="s">
        <v>271</v>
      </c>
      <c r="K14" s="5"/>
      <c r="L14" s="37" t="s">
        <v>174</v>
      </c>
      <c r="M14" s="37" t="s">
        <v>18</v>
      </c>
    </row>
    <row r="15" customFormat="false" ht="14.25" hidden="false" customHeight="true" outlineLevel="0" collapsed="false">
      <c r="A15" s="37"/>
      <c r="B15" s="38" t="s">
        <v>272</v>
      </c>
      <c r="C15" s="38" t="s">
        <v>273</v>
      </c>
      <c r="D15" s="38" t="s">
        <v>272</v>
      </c>
      <c r="E15" s="38" t="s">
        <v>273</v>
      </c>
      <c r="F15" s="38" t="s">
        <v>272</v>
      </c>
      <c r="G15" s="38" t="s">
        <v>273</v>
      </c>
      <c r="H15" s="38" t="s">
        <v>272</v>
      </c>
      <c r="I15" s="38" t="s">
        <v>273</v>
      </c>
      <c r="J15" s="38" t="s">
        <v>272</v>
      </c>
      <c r="K15" s="38" t="s">
        <v>273</v>
      </c>
      <c r="L15" s="37"/>
      <c r="M15" s="37"/>
    </row>
    <row r="16" customFormat="false" ht="38.25" hidden="false" customHeight="true" outlineLevel="0" collapsed="false">
      <c r="A16" s="6" t="s">
        <v>186</v>
      </c>
      <c r="B16" s="7" t="n">
        <f aca="false">'IT Experts'!I12</f>
        <v>0</v>
      </c>
      <c r="C16" s="39" t="n">
        <f aca="false">'IT Experts'!I12/COUNT('IT Experts'!$C12:$G12)</f>
        <v>0</v>
      </c>
      <c r="D16" s="7" t="n">
        <f aca="false">'IT Experts'!J12</f>
        <v>4</v>
      </c>
      <c r="E16" s="39" t="n">
        <f aca="false">'IT Experts'!J12/COUNT('IT Experts'!$C12:$G12)</f>
        <v>0.8</v>
      </c>
      <c r="F16" s="7" t="n">
        <f aca="false">'IT Experts'!K12</f>
        <v>1</v>
      </c>
      <c r="G16" s="39" t="n">
        <f aca="false">'IT Experts'!K12/COUNT('IT Experts'!$C12:$G12)</f>
        <v>0.2</v>
      </c>
      <c r="H16" s="7" t="n">
        <f aca="false">'IT Experts'!L12</f>
        <v>0</v>
      </c>
      <c r="I16" s="39" t="n">
        <f aca="false">'IT Experts'!L12/COUNT('IT Experts'!$C12:$G12)</f>
        <v>0</v>
      </c>
      <c r="J16" s="7" t="n">
        <f aca="false">'IT Experts'!M12</f>
        <v>0</v>
      </c>
      <c r="K16" s="39" t="n">
        <f aca="false">'IT Experts'!M12/COUNT('IT Experts'!$C12:$G12)</f>
        <v>0</v>
      </c>
      <c r="L16" s="40" t="n">
        <f aca="false">'IT Experts'!H12</f>
        <v>3.8</v>
      </c>
      <c r="M16" s="7" t="str">
        <f aca="false">IF('IT Experts'!H12&gt;='Scoring Rubrics'!$A$14,'Scoring Rubrics'!$C$14,IF('IT Experts'!H12&gt;='Scoring Rubrics'!$A$15,'Scoring Rubrics'!$C$15,IF('IT Experts'!H12&gt;='Scoring Rubrics'!$A$16,'Scoring Rubrics'!$C$16,IF('IT Experts'!H12&gt;='Scoring Rubrics'!$A$17,'Scoring Rubrics'!$C$17,'Scoring Rubrics'!$C$18))))</f>
        <v>Efficient</v>
      </c>
    </row>
    <row r="17" customFormat="false" ht="38.25" hidden="false" customHeight="true" outlineLevel="0" collapsed="false">
      <c r="A17" s="6" t="s">
        <v>187</v>
      </c>
      <c r="B17" s="7" t="n">
        <f aca="false">'IT Experts'!I13</f>
        <v>1</v>
      </c>
      <c r="C17" s="39" t="n">
        <f aca="false">'IT Experts'!I13/COUNT('IT Experts'!$C13:$G13)</f>
        <v>0.2</v>
      </c>
      <c r="D17" s="7" t="n">
        <f aca="false">'IT Experts'!J13</f>
        <v>4</v>
      </c>
      <c r="E17" s="39" t="n">
        <f aca="false">'IT Experts'!J13/COUNT('IT Experts'!$C13:$G13)</f>
        <v>0.8</v>
      </c>
      <c r="F17" s="7" t="n">
        <f aca="false">'IT Experts'!K13</f>
        <v>0</v>
      </c>
      <c r="G17" s="39" t="n">
        <f aca="false">'IT Experts'!K13/COUNT('IT Experts'!$C13:$G13)</f>
        <v>0</v>
      </c>
      <c r="H17" s="7" t="n">
        <f aca="false">'IT Experts'!L13</f>
        <v>0</v>
      </c>
      <c r="I17" s="39" t="n">
        <f aca="false">'IT Experts'!L13/COUNT('IT Experts'!$C13:$G13)</f>
        <v>0</v>
      </c>
      <c r="J17" s="7" t="n">
        <f aca="false">'IT Experts'!M13</f>
        <v>0</v>
      </c>
      <c r="K17" s="39" t="n">
        <f aca="false">'IT Experts'!M13/COUNT('IT Experts'!$C13:$G13)</f>
        <v>0</v>
      </c>
      <c r="L17" s="40" t="n">
        <f aca="false">'IT Experts'!H13</f>
        <v>4.2</v>
      </c>
      <c r="M17" s="7" t="str">
        <f aca="false">IF('IT Experts'!H13&gt;='Scoring Rubrics'!$A$14,'Scoring Rubrics'!$C$14,IF('IT Experts'!H13&gt;='Scoring Rubrics'!$A$15,'Scoring Rubrics'!$C$15,IF('IT Experts'!H13&gt;='Scoring Rubrics'!$A$16,'Scoring Rubrics'!$C$16,IF('IT Experts'!H13&gt;='Scoring Rubrics'!$A$17,'Scoring Rubrics'!$C$17,'Scoring Rubrics'!$C$18))))</f>
        <v>Efficient</v>
      </c>
    </row>
    <row r="18" customFormat="false" ht="38.25" hidden="false" customHeight="true" outlineLevel="0" collapsed="false">
      <c r="A18" s="6" t="s">
        <v>188</v>
      </c>
      <c r="B18" s="7" t="n">
        <f aca="false">'IT Experts'!I14</f>
        <v>1</v>
      </c>
      <c r="C18" s="39" t="n">
        <f aca="false">'IT Experts'!I14/COUNT('IT Experts'!$C14:$G14)</f>
        <v>0.2</v>
      </c>
      <c r="D18" s="7" t="n">
        <f aca="false">'IT Experts'!J14</f>
        <v>4</v>
      </c>
      <c r="E18" s="39" t="n">
        <f aca="false">'IT Experts'!J14/COUNT('IT Experts'!$C14:$G14)</f>
        <v>0.8</v>
      </c>
      <c r="F18" s="7" t="n">
        <f aca="false">'IT Experts'!K14</f>
        <v>0</v>
      </c>
      <c r="G18" s="39" t="n">
        <f aca="false">'IT Experts'!K14/COUNT('IT Experts'!$C14:$G14)</f>
        <v>0</v>
      </c>
      <c r="H18" s="7" t="n">
        <f aca="false">'IT Experts'!L14</f>
        <v>0</v>
      </c>
      <c r="I18" s="39" t="n">
        <f aca="false">'IT Experts'!L14/COUNT('IT Experts'!$C14:$G14)</f>
        <v>0</v>
      </c>
      <c r="J18" s="7" t="n">
        <f aca="false">'IT Experts'!M14</f>
        <v>0</v>
      </c>
      <c r="K18" s="39" t="n">
        <f aca="false">'IT Experts'!M14/COUNT('IT Experts'!$C14:$G14)</f>
        <v>0</v>
      </c>
      <c r="L18" s="40" t="n">
        <f aca="false">'IT Experts'!H14</f>
        <v>4.2</v>
      </c>
      <c r="M18" s="7" t="str">
        <f aca="false">IF('IT Experts'!H14&gt;='Scoring Rubrics'!$A$14,'Scoring Rubrics'!$C$14,IF('IT Experts'!H14&gt;='Scoring Rubrics'!$A$15,'Scoring Rubrics'!$C$15,IF('IT Experts'!H14&gt;='Scoring Rubrics'!$A$16,'Scoring Rubrics'!$C$16,IF('IT Experts'!H14&gt;='Scoring Rubrics'!$A$17,'Scoring Rubrics'!$C$17,'Scoring Rubrics'!$C$18))))</f>
        <v>Efficient</v>
      </c>
    </row>
    <row r="19" customFormat="false" ht="14.25" hidden="false" customHeight="true" outlineLevel="0" collapsed="false">
      <c r="A19" s="41" t="s">
        <v>274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2" t="n">
        <f aca="false">'IT Experts'!H15</f>
        <v>4.06666666666667</v>
      </c>
      <c r="M19" s="38" t="str">
        <f aca="false">IF('IT Experts'!H15&gt;='Scoring Rubrics'!$A$14,'Scoring Rubrics'!$C$14,IF('IT Experts'!H15&gt;='Scoring Rubrics'!$A$15,'Scoring Rubrics'!$C$15,IF('IT Experts'!H15&gt;='Scoring Rubrics'!$A$16,'Scoring Rubrics'!$C$16,IF('IT Experts'!H15&gt;='Scoring Rubrics'!$A$17,'Scoring Rubrics'!$C$17,'Scoring Rubrics'!$C$18))))</f>
        <v>Efficient</v>
      </c>
    </row>
    <row r="20" customFormat="false" ht="37.5" hidden="false" customHeight="true" outlineLevel="0" collapsed="false">
      <c r="A20" s="43" t="s">
        <v>278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3" customFormat="false" ht="14.25" hidden="false" customHeight="true" outlineLevel="0" collapsed="false">
      <c r="A23" s="2" t="s">
        <v>279</v>
      </c>
    </row>
    <row r="24" customFormat="false" ht="26.25" hidden="false" customHeight="true" outlineLevel="0" collapsed="false">
      <c r="A24" s="36" t="s">
        <v>280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customFormat="false" ht="39.75" hidden="false" customHeight="true" outlineLevel="0" collapsed="false">
      <c r="A25" s="37" t="s">
        <v>168</v>
      </c>
      <c r="B25" s="5" t="s">
        <v>267</v>
      </c>
      <c r="C25" s="5"/>
      <c r="D25" s="5" t="s">
        <v>268</v>
      </c>
      <c r="E25" s="5"/>
      <c r="F25" s="5" t="s">
        <v>269</v>
      </c>
      <c r="G25" s="5"/>
      <c r="H25" s="5" t="s">
        <v>270</v>
      </c>
      <c r="I25" s="5"/>
      <c r="J25" s="5" t="s">
        <v>271</v>
      </c>
      <c r="K25" s="5"/>
      <c r="L25" s="37" t="s">
        <v>174</v>
      </c>
      <c r="M25" s="37" t="s">
        <v>18</v>
      </c>
    </row>
    <row r="26" customFormat="false" ht="14.25" hidden="false" customHeight="true" outlineLevel="0" collapsed="false">
      <c r="A26" s="37"/>
      <c r="B26" s="38" t="s">
        <v>272</v>
      </c>
      <c r="C26" s="38" t="s">
        <v>273</v>
      </c>
      <c r="D26" s="38" t="s">
        <v>272</v>
      </c>
      <c r="E26" s="38" t="s">
        <v>273</v>
      </c>
      <c r="F26" s="38" t="s">
        <v>272</v>
      </c>
      <c r="G26" s="38" t="s">
        <v>273</v>
      </c>
      <c r="H26" s="38" t="s">
        <v>272</v>
      </c>
      <c r="I26" s="38" t="s">
        <v>273</v>
      </c>
      <c r="J26" s="38" t="s">
        <v>272</v>
      </c>
      <c r="K26" s="38" t="s">
        <v>273</v>
      </c>
      <c r="L26" s="37"/>
      <c r="M26" s="37"/>
    </row>
    <row r="27" customFormat="false" ht="38.25" hidden="false" customHeight="true" outlineLevel="0" collapsed="false">
      <c r="A27" s="6" t="s">
        <v>191</v>
      </c>
      <c r="B27" s="7" t="n">
        <f aca="false">'IT Experts'!I17</f>
        <v>0</v>
      </c>
      <c r="C27" s="39" t="n">
        <f aca="false">'IT Experts'!I17/COUNT('IT Experts'!$C17:$G17)</f>
        <v>0</v>
      </c>
      <c r="D27" s="7" t="n">
        <f aca="false">'IT Experts'!J17</f>
        <v>2</v>
      </c>
      <c r="E27" s="39" t="n">
        <f aca="false">'IT Experts'!J17/COUNT('IT Experts'!$C17:$G17)</f>
        <v>0.4</v>
      </c>
      <c r="F27" s="7" t="n">
        <f aca="false">'IT Experts'!K17</f>
        <v>3</v>
      </c>
      <c r="G27" s="39" t="n">
        <f aca="false">'IT Experts'!K17/COUNT('IT Experts'!$C17:$G17)</f>
        <v>0.6</v>
      </c>
      <c r="H27" s="7" t="n">
        <f aca="false">'IT Experts'!L17</f>
        <v>0</v>
      </c>
      <c r="I27" s="39" t="n">
        <f aca="false">'IT Experts'!L17/COUNT('IT Experts'!$C17:$G17)</f>
        <v>0</v>
      </c>
      <c r="J27" s="7" t="n">
        <f aca="false">'IT Experts'!M17</f>
        <v>0</v>
      </c>
      <c r="K27" s="39" t="n">
        <f aca="false">'IT Experts'!M17/COUNT('IT Experts'!$C17:$G17)</f>
        <v>0</v>
      </c>
      <c r="L27" s="40" t="n">
        <f aca="false">'IT Experts'!H17</f>
        <v>3.4</v>
      </c>
      <c r="M27" s="7" t="str">
        <f aca="false">IF('IT Experts'!H17&gt;='Scoring Rubrics'!$A$22,'Scoring Rubrics'!$C$22,IF('IT Experts'!H17&gt;='Scoring Rubrics'!$A$23,'Scoring Rubrics'!$C$23,IF('IT Experts'!H17&gt;='Scoring Rubrics'!$A$24,'Scoring Rubrics'!$C$24,IF('IT Experts'!H17&gt;='Scoring Rubrics'!$A$25,'Scoring Rubrics'!$C$25,'Scoring Rubrics'!$C$26))))</f>
        <v>Somewhat Compatible</v>
      </c>
    </row>
    <row r="28" customFormat="false" ht="38.25" hidden="false" customHeight="true" outlineLevel="0" collapsed="false">
      <c r="A28" s="6" t="s">
        <v>192</v>
      </c>
      <c r="B28" s="7" t="n">
        <f aca="false">'IT Experts'!I18</f>
        <v>2</v>
      </c>
      <c r="C28" s="39" t="n">
        <f aca="false">'IT Experts'!I18/COUNT('IT Experts'!$C18:$G18)</f>
        <v>0.4</v>
      </c>
      <c r="D28" s="7" t="n">
        <f aca="false">'IT Experts'!J18</f>
        <v>2</v>
      </c>
      <c r="E28" s="39" t="n">
        <f aca="false">'IT Experts'!J18/COUNT('IT Experts'!$C18:$G18)</f>
        <v>0.4</v>
      </c>
      <c r="F28" s="7" t="n">
        <f aca="false">'IT Experts'!K18</f>
        <v>1</v>
      </c>
      <c r="G28" s="39" t="n">
        <f aca="false">'IT Experts'!K18/COUNT('IT Experts'!$C18:$G18)</f>
        <v>0.2</v>
      </c>
      <c r="H28" s="7" t="n">
        <f aca="false">'IT Experts'!L18</f>
        <v>0</v>
      </c>
      <c r="I28" s="39" t="n">
        <f aca="false">'IT Experts'!L18/COUNT('IT Experts'!$C18:$G18)</f>
        <v>0</v>
      </c>
      <c r="J28" s="7" t="n">
        <f aca="false">'IT Experts'!M18</f>
        <v>0</v>
      </c>
      <c r="K28" s="39" t="n">
        <f aca="false">'IT Experts'!M18/COUNT('IT Experts'!$C18:$G18)</f>
        <v>0</v>
      </c>
      <c r="L28" s="40" t="n">
        <f aca="false">'IT Experts'!H18</f>
        <v>4.2</v>
      </c>
      <c r="M28" s="7" t="str">
        <f aca="false">IF('IT Experts'!H18&gt;='Scoring Rubrics'!$A$22,'Scoring Rubrics'!$C$22,IF('IT Experts'!H18&gt;='Scoring Rubrics'!$A$23,'Scoring Rubrics'!$C$23,IF('IT Experts'!H18&gt;='Scoring Rubrics'!$A$24,'Scoring Rubrics'!$C$24,IF('IT Experts'!H18&gt;='Scoring Rubrics'!$A$25,'Scoring Rubrics'!$C$25,'Scoring Rubrics'!$C$26))))</f>
        <v>Compatible</v>
      </c>
    </row>
    <row r="29" customFormat="false" ht="38.25" hidden="false" customHeight="true" outlineLevel="0" collapsed="false">
      <c r="A29" s="6" t="s">
        <v>193</v>
      </c>
      <c r="B29" s="7" t="n">
        <f aca="false">'IT Experts'!I19</f>
        <v>0</v>
      </c>
      <c r="C29" s="39" t="n">
        <f aca="false">'IT Experts'!I19/COUNT('IT Experts'!$C19:$G19)</f>
        <v>0</v>
      </c>
      <c r="D29" s="7" t="n">
        <f aca="false">'IT Experts'!J19</f>
        <v>4</v>
      </c>
      <c r="E29" s="39" t="n">
        <f aca="false">'IT Experts'!J19/COUNT('IT Experts'!$C19:$G19)</f>
        <v>0.8</v>
      </c>
      <c r="F29" s="7" t="n">
        <f aca="false">'IT Experts'!K19</f>
        <v>1</v>
      </c>
      <c r="G29" s="39" t="n">
        <f aca="false">'IT Experts'!K19/COUNT('IT Experts'!$C19:$G19)</f>
        <v>0.2</v>
      </c>
      <c r="H29" s="7" t="n">
        <f aca="false">'IT Experts'!L19</f>
        <v>0</v>
      </c>
      <c r="I29" s="39" t="n">
        <f aca="false">'IT Experts'!L19/COUNT('IT Experts'!$C19:$G19)</f>
        <v>0</v>
      </c>
      <c r="J29" s="7" t="n">
        <f aca="false">'IT Experts'!M19</f>
        <v>0</v>
      </c>
      <c r="K29" s="39" t="n">
        <f aca="false">'IT Experts'!M19/COUNT('IT Experts'!$C19:$G19)</f>
        <v>0</v>
      </c>
      <c r="L29" s="40" t="n">
        <f aca="false">'IT Experts'!H19</f>
        <v>3.8</v>
      </c>
      <c r="M29" s="7" t="str">
        <f aca="false">IF('IT Experts'!H19&gt;='Scoring Rubrics'!$A$22,'Scoring Rubrics'!$C$22,IF('IT Experts'!H19&gt;='Scoring Rubrics'!$A$23,'Scoring Rubrics'!$C$23,IF('IT Experts'!H19&gt;='Scoring Rubrics'!$A$24,'Scoring Rubrics'!$C$24,IF('IT Experts'!H19&gt;='Scoring Rubrics'!$A$25,'Scoring Rubrics'!$C$25,'Scoring Rubrics'!$C$26))))</f>
        <v>Compatible</v>
      </c>
    </row>
    <row r="30" customFormat="false" ht="14.25" hidden="false" customHeight="true" outlineLevel="0" collapsed="false">
      <c r="A30" s="41" t="s">
        <v>274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2" t="n">
        <f aca="false">'IT Experts'!H20</f>
        <v>3.8</v>
      </c>
      <c r="M30" s="38" t="str">
        <f aca="false">IF('IT Experts'!H20&gt;='Scoring Rubrics'!$A$22,'Scoring Rubrics'!$C$22,IF('IT Experts'!H20&gt;='Scoring Rubrics'!$A$23,'Scoring Rubrics'!$C$23,IF('IT Experts'!H20&gt;='Scoring Rubrics'!$A$24,'Scoring Rubrics'!$C$24,IF('IT Experts'!H20&gt;='Scoring Rubrics'!$A$25,'Scoring Rubrics'!$C$25,'Scoring Rubrics'!$C$26))))</f>
        <v>Compatible</v>
      </c>
    </row>
    <row r="31" customFormat="false" ht="37.5" hidden="false" customHeight="true" outlineLevel="0" collapsed="false">
      <c r="A31" s="43" t="s">
        <v>281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4" customFormat="false" ht="14.25" hidden="false" customHeight="true" outlineLevel="0" collapsed="false">
      <c r="A34" s="2" t="s">
        <v>282</v>
      </c>
    </row>
    <row r="35" customFormat="false" ht="26.25" hidden="false" customHeight="true" outlineLevel="0" collapsed="false">
      <c r="A35" s="36" t="s">
        <v>283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customFormat="false" ht="39.75" hidden="false" customHeight="true" outlineLevel="0" collapsed="false">
      <c r="A36" s="37" t="s">
        <v>168</v>
      </c>
      <c r="B36" s="5" t="s">
        <v>267</v>
      </c>
      <c r="C36" s="5"/>
      <c r="D36" s="5" t="s">
        <v>268</v>
      </c>
      <c r="E36" s="5"/>
      <c r="F36" s="5" t="s">
        <v>269</v>
      </c>
      <c r="G36" s="5"/>
      <c r="H36" s="5" t="s">
        <v>270</v>
      </c>
      <c r="I36" s="5"/>
      <c r="J36" s="5" t="s">
        <v>271</v>
      </c>
      <c r="K36" s="5"/>
      <c r="L36" s="37" t="s">
        <v>174</v>
      </c>
      <c r="M36" s="37" t="s">
        <v>18</v>
      </c>
    </row>
    <row r="37" customFormat="false" ht="14.25" hidden="false" customHeight="true" outlineLevel="0" collapsed="false">
      <c r="A37" s="37"/>
      <c r="B37" s="38" t="s">
        <v>272</v>
      </c>
      <c r="C37" s="38" t="s">
        <v>273</v>
      </c>
      <c r="D37" s="38" t="s">
        <v>272</v>
      </c>
      <c r="E37" s="38" t="s">
        <v>273</v>
      </c>
      <c r="F37" s="38" t="s">
        <v>272</v>
      </c>
      <c r="G37" s="38" t="s">
        <v>273</v>
      </c>
      <c r="H37" s="38" t="s">
        <v>272</v>
      </c>
      <c r="I37" s="38" t="s">
        <v>273</v>
      </c>
      <c r="J37" s="38" t="s">
        <v>272</v>
      </c>
      <c r="K37" s="38" t="s">
        <v>273</v>
      </c>
      <c r="L37" s="37"/>
      <c r="M37" s="37"/>
    </row>
    <row r="38" customFormat="false" ht="38.25" hidden="false" customHeight="true" outlineLevel="0" collapsed="false">
      <c r="A38" s="6" t="s">
        <v>196</v>
      </c>
      <c r="B38" s="7" t="n">
        <f aca="false">'IT Experts'!I22</f>
        <v>2</v>
      </c>
      <c r="C38" s="39" t="n">
        <f aca="false">'IT Experts'!I22/COUNT('IT Experts'!$C22:$G22)</f>
        <v>0.4</v>
      </c>
      <c r="D38" s="7" t="n">
        <f aca="false">'IT Experts'!J22</f>
        <v>2</v>
      </c>
      <c r="E38" s="39" t="n">
        <f aca="false">'IT Experts'!J22/COUNT('IT Experts'!$C22:$G22)</f>
        <v>0.4</v>
      </c>
      <c r="F38" s="7" t="n">
        <f aca="false">'IT Experts'!K22</f>
        <v>1</v>
      </c>
      <c r="G38" s="39" t="n">
        <f aca="false">'IT Experts'!K22/COUNT('IT Experts'!$C22:$G22)</f>
        <v>0.2</v>
      </c>
      <c r="H38" s="7" t="n">
        <f aca="false">'IT Experts'!L22</f>
        <v>0</v>
      </c>
      <c r="I38" s="39" t="n">
        <f aca="false">'IT Experts'!L22/COUNT('IT Experts'!$C22:$G22)</f>
        <v>0</v>
      </c>
      <c r="J38" s="7" t="n">
        <f aca="false">'IT Experts'!M22</f>
        <v>0</v>
      </c>
      <c r="K38" s="39" t="n">
        <f aca="false">'IT Experts'!M22/COUNT('IT Experts'!$C22:$G22)</f>
        <v>0</v>
      </c>
      <c r="L38" s="40" t="n">
        <f aca="false">'IT Experts'!H22</f>
        <v>4.2</v>
      </c>
      <c r="M38" s="7" t="str">
        <f aca="false">IF('IT Experts'!H22&gt;='Scoring Rubrics'!$A$30,'Scoring Rubrics'!$C$30,IF('IT Experts'!H22&gt;='Scoring Rubrics'!$A$31,'Scoring Rubrics'!$C$31,IF('IT Experts'!H22&gt;='Scoring Rubrics'!$A$32,'Scoring Rubrics'!$C$32,IF('IT Experts'!H22&gt;='Scoring Rubrics'!$A$33,'Scoring Rubrics'!$C$33,'Scoring Rubrics'!$C$34))))</f>
        <v>Interactive</v>
      </c>
    </row>
    <row r="39" customFormat="false" ht="38.25" hidden="false" customHeight="true" outlineLevel="0" collapsed="false">
      <c r="A39" s="6" t="s">
        <v>197</v>
      </c>
      <c r="B39" s="7" t="n">
        <f aca="false">'IT Experts'!I23</f>
        <v>2</v>
      </c>
      <c r="C39" s="39" t="n">
        <f aca="false">'IT Experts'!I23/COUNT('IT Experts'!$C23:$G23)</f>
        <v>0.4</v>
      </c>
      <c r="D39" s="7" t="n">
        <f aca="false">'IT Experts'!J23</f>
        <v>3</v>
      </c>
      <c r="E39" s="39" t="n">
        <f aca="false">'IT Experts'!J23/COUNT('IT Experts'!$C23:$G23)</f>
        <v>0.6</v>
      </c>
      <c r="F39" s="7" t="n">
        <f aca="false">'IT Experts'!K23</f>
        <v>0</v>
      </c>
      <c r="G39" s="39" t="n">
        <f aca="false">'IT Experts'!K23/COUNT('IT Experts'!$C23:$G23)</f>
        <v>0</v>
      </c>
      <c r="H39" s="7" t="n">
        <f aca="false">'IT Experts'!L23</f>
        <v>0</v>
      </c>
      <c r="I39" s="39" t="n">
        <f aca="false">'IT Experts'!L23/COUNT('IT Experts'!$C23:$G23)</f>
        <v>0</v>
      </c>
      <c r="J39" s="7" t="n">
        <f aca="false">'IT Experts'!M23</f>
        <v>0</v>
      </c>
      <c r="K39" s="39" t="n">
        <f aca="false">'IT Experts'!M23/COUNT('IT Experts'!$C23:$G23)</f>
        <v>0</v>
      </c>
      <c r="L39" s="40" t="n">
        <f aca="false">'IT Experts'!H23</f>
        <v>4.4</v>
      </c>
      <c r="M39" s="7" t="str">
        <f aca="false">IF('IT Experts'!H23&gt;='Scoring Rubrics'!$A$30,'Scoring Rubrics'!$C$30,IF('IT Experts'!H23&gt;='Scoring Rubrics'!$A$31,'Scoring Rubrics'!$C$31,IF('IT Experts'!H23&gt;='Scoring Rubrics'!$A$32,'Scoring Rubrics'!$C$32,IF('IT Experts'!H23&gt;='Scoring Rubrics'!$A$33,'Scoring Rubrics'!$C$33,'Scoring Rubrics'!$C$34))))</f>
        <v>Highly Interactive</v>
      </c>
    </row>
    <row r="40" customFormat="false" ht="38.25" hidden="false" customHeight="true" outlineLevel="0" collapsed="false">
      <c r="A40" s="6" t="s">
        <v>198</v>
      </c>
      <c r="B40" s="7" t="n">
        <f aca="false">'IT Experts'!I24</f>
        <v>2</v>
      </c>
      <c r="C40" s="39" t="n">
        <f aca="false">'IT Experts'!I24/COUNT('IT Experts'!$C24:$G24)</f>
        <v>0.4</v>
      </c>
      <c r="D40" s="7" t="n">
        <f aca="false">'IT Experts'!J24</f>
        <v>3</v>
      </c>
      <c r="E40" s="39" t="n">
        <f aca="false">'IT Experts'!J24/COUNT('IT Experts'!$C24:$G24)</f>
        <v>0.6</v>
      </c>
      <c r="F40" s="7" t="n">
        <f aca="false">'IT Experts'!K24</f>
        <v>0</v>
      </c>
      <c r="G40" s="39" t="n">
        <f aca="false">'IT Experts'!K24/COUNT('IT Experts'!$C24:$G24)</f>
        <v>0</v>
      </c>
      <c r="H40" s="7" t="n">
        <f aca="false">'IT Experts'!L24</f>
        <v>0</v>
      </c>
      <c r="I40" s="39" t="n">
        <f aca="false">'IT Experts'!L24/COUNT('IT Experts'!$C24:$G24)</f>
        <v>0</v>
      </c>
      <c r="J40" s="7" t="n">
        <f aca="false">'IT Experts'!M24</f>
        <v>0</v>
      </c>
      <c r="K40" s="39" t="n">
        <f aca="false">'IT Experts'!M24/COUNT('IT Experts'!$C24:$G24)</f>
        <v>0</v>
      </c>
      <c r="L40" s="40" t="n">
        <f aca="false">'IT Experts'!H24</f>
        <v>4.4</v>
      </c>
      <c r="M40" s="7" t="str">
        <f aca="false">IF('IT Experts'!H24&gt;='Scoring Rubrics'!$A$30,'Scoring Rubrics'!$C$30,IF('IT Experts'!H24&gt;='Scoring Rubrics'!$A$31,'Scoring Rubrics'!$C$31,IF('IT Experts'!H24&gt;='Scoring Rubrics'!$A$32,'Scoring Rubrics'!$C$32,IF('IT Experts'!H24&gt;='Scoring Rubrics'!$A$33,'Scoring Rubrics'!$C$33,'Scoring Rubrics'!$C$34))))</f>
        <v>Highly Interactive</v>
      </c>
    </row>
    <row r="41" customFormat="false" ht="14.25" hidden="false" customHeight="true" outlineLevel="0" collapsed="false">
      <c r="A41" s="41" t="s">
        <v>274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 t="n">
        <f aca="false">'IT Experts'!H25</f>
        <v>4.33333333333333</v>
      </c>
      <c r="M41" s="38" t="str">
        <f aca="false">IF('IT Experts'!H25&gt;='Scoring Rubrics'!$A$30,'Scoring Rubrics'!$C$30,IF('IT Experts'!H25&gt;='Scoring Rubrics'!$A$31,'Scoring Rubrics'!$C$31,IF('IT Experts'!H25&gt;='Scoring Rubrics'!$A$32,'Scoring Rubrics'!$C$32,IF('IT Experts'!H25&gt;='Scoring Rubrics'!$A$33,'Scoring Rubrics'!$C$33,'Scoring Rubrics'!$C$34))))</f>
        <v>Highly Interactive</v>
      </c>
    </row>
    <row r="42" customFormat="false" ht="37.5" hidden="false" customHeight="true" outlineLevel="0" collapsed="false">
      <c r="A42" s="43" t="s">
        <v>284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5" customFormat="false" ht="14.25" hidden="false" customHeight="true" outlineLevel="0" collapsed="false">
      <c r="A45" s="2" t="s">
        <v>285</v>
      </c>
    </row>
    <row r="46" customFormat="false" ht="26.25" hidden="false" customHeight="true" outlineLevel="0" collapsed="false">
      <c r="A46" s="36" t="s">
        <v>286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customFormat="false" ht="39.75" hidden="false" customHeight="true" outlineLevel="0" collapsed="false">
      <c r="A47" s="37" t="s">
        <v>168</v>
      </c>
      <c r="B47" s="5" t="s">
        <v>267</v>
      </c>
      <c r="C47" s="5"/>
      <c r="D47" s="5" t="s">
        <v>268</v>
      </c>
      <c r="E47" s="5"/>
      <c r="F47" s="5" t="s">
        <v>269</v>
      </c>
      <c r="G47" s="5"/>
      <c r="H47" s="5" t="s">
        <v>270</v>
      </c>
      <c r="I47" s="5"/>
      <c r="J47" s="5" t="s">
        <v>271</v>
      </c>
      <c r="K47" s="5"/>
      <c r="L47" s="37" t="s">
        <v>174</v>
      </c>
      <c r="M47" s="37" t="s">
        <v>18</v>
      </c>
    </row>
    <row r="48" customFormat="false" ht="14.25" hidden="false" customHeight="true" outlineLevel="0" collapsed="false">
      <c r="A48" s="37"/>
      <c r="B48" s="38" t="s">
        <v>272</v>
      </c>
      <c r="C48" s="38" t="s">
        <v>273</v>
      </c>
      <c r="D48" s="38" t="s">
        <v>272</v>
      </c>
      <c r="E48" s="38" t="s">
        <v>273</v>
      </c>
      <c r="F48" s="38" t="s">
        <v>272</v>
      </c>
      <c r="G48" s="38" t="s">
        <v>273</v>
      </c>
      <c r="H48" s="38" t="s">
        <v>272</v>
      </c>
      <c r="I48" s="38" t="s">
        <v>273</v>
      </c>
      <c r="J48" s="38" t="s">
        <v>272</v>
      </c>
      <c r="K48" s="38" t="s">
        <v>273</v>
      </c>
      <c r="L48" s="37"/>
      <c r="M48" s="37"/>
    </row>
    <row r="49" customFormat="false" ht="38.25" hidden="false" customHeight="true" outlineLevel="0" collapsed="false">
      <c r="A49" s="6" t="s">
        <v>201</v>
      </c>
      <c r="B49" s="7" t="n">
        <f aca="false">'IT Experts'!I27</f>
        <v>1</v>
      </c>
      <c r="C49" s="39" t="n">
        <f aca="false">'IT Experts'!I27/COUNT('IT Experts'!$C27:$G27)</f>
        <v>0.2</v>
      </c>
      <c r="D49" s="7" t="n">
        <f aca="false">'IT Experts'!J27</f>
        <v>3</v>
      </c>
      <c r="E49" s="39" t="n">
        <f aca="false">'IT Experts'!J27/COUNT('IT Experts'!$C27:$G27)</f>
        <v>0.6</v>
      </c>
      <c r="F49" s="7" t="n">
        <f aca="false">'IT Experts'!K27</f>
        <v>0</v>
      </c>
      <c r="G49" s="39" t="n">
        <f aca="false">'IT Experts'!K27/COUNT('IT Experts'!$C27:$G27)</f>
        <v>0</v>
      </c>
      <c r="H49" s="7" t="n">
        <f aca="false">'IT Experts'!L27</f>
        <v>0</v>
      </c>
      <c r="I49" s="39" t="n">
        <f aca="false">'IT Experts'!L27/COUNT('IT Experts'!$C27:$G27)</f>
        <v>0</v>
      </c>
      <c r="J49" s="7" t="n">
        <f aca="false">'IT Experts'!M27</f>
        <v>1</v>
      </c>
      <c r="K49" s="39" t="n">
        <f aca="false">'IT Experts'!M27/COUNT('IT Experts'!$C27:$G27)</f>
        <v>0.2</v>
      </c>
      <c r="L49" s="40" t="n">
        <f aca="false">'IT Experts'!H27</f>
        <v>3.6</v>
      </c>
      <c r="M49" s="7" t="str">
        <f aca="false">IF('IT Experts'!H27&gt;='Scoring Rubrics'!$A$38,'Scoring Rubrics'!$C$38,IF('IT Experts'!H27&gt;='Scoring Rubrics'!$A$39,'Scoring Rubrics'!$C$39,IF('IT Experts'!H27&gt;='Scoring Rubrics'!$A$40,'Scoring Rubrics'!$C$40,IF('IT Experts'!H27&gt;='Scoring Rubrics'!$A$41,'Scoring Rubrics'!$C$41,'Scoring Rubrics'!$C$42))))</f>
        <v>Reliable</v>
      </c>
    </row>
    <row r="50" customFormat="false" ht="38.25" hidden="false" customHeight="true" outlineLevel="0" collapsed="false">
      <c r="A50" s="6" t="s">
        <v>202</v>
      </c>
      <c r="B50" s="7" t="n">
        <f aca="false">'IT Experts'!I28</f>
        <v>1</v>
      </c>
      <c r="C50" s="39" t="n">
        <f aca="false">'IT Experts'!I28/COUNT('IT Experts'!$C28:$G28)</f>
        <v>0.2</v>
      </c>
      <c r="D50" s="7" t="n">
        <f aca="false">'IT Experts'!J28</f>
        <v>3</v>
      </c>
      <c r="E50" s="39" t="n">
        <f aca="false">'IT Experts'!J28/COUNT('IT Experts'!$C28:$G28)</f>
        <v>0.6</v>
      </c>
      <c r="F50" s="7" t="n">
        <f aca="false">'IT Experts'!K28</f>
        <v>1</v>
      </c>
      <c r="G50" s="39" t="n">
        <f aca="false">'IT Experts'!K28/COUNT('IT Experts'!$C28:$G28)</f>
        <v>0.2</v>
      </c>
      <c r="H50" s="7" t="n">
        <f aca="false">'IT Experts'!L28</f>
        <v>0</v>
      </c>
      <c r="I50" s="39" t="n">
        <f aca="false">'IT Experts'!L28/COUNT('IT Experts'!$C28:$G28)</f>
        <v>0</v>
      </c>
      <c r="J50" s="7" t="n">
        <f aca="false">'IT Experts'!M28</f>
        <v>0</v>
      </c>
      <c r="K50" s="39" t="n">
        <f aca="false">'IT Experts'!M28/COUNT('IT Experts'!$C28:$G28)</f>
        <v>0</v>
      </c>
      <c r="L50" s="40" t="n">
        <f aca="false">'IT Experts'!H28</f>
        <v>4</v>
      </c>
      <c r="M50" s="7" t="str">
        <f aca="false">IF('IT Experts'!H28&gt;='Scoring Rubrics'!$A$38,'Scoring Rubrics'!$C$38,IF('IT Experts'!H28&gt;='Scoring Rubrics'!$A$39,'Scoring Rubrics'!$C$39,IF('IT Experts'!H28&gt;='Scoring Rubrics'!$A$40,'Scoring Rubrics'!$C$40,IF('IT Experts'!H28&gt;='Scoring Rubrics'!$A$41,'Scoring Rubrics'!$C$41,'Scoring Rubrics'!$C$42))))</f>
        <v>Reliable</v>
      </c>
    </row>
    <row r="51" customFormat="false" ht="38.25" hidden="false" customHeight="true" outlineLevel="0" collapsed="false">
      <c r="A51" s="6" t="s">
        <v>203</v>
      </c>
      <c r="B51" s="7" t="n">
        <f aca="false">'IT Experts'!I29</f>
        <v>1</v>
      </c>
      <c r="C51" s="39" t="n">
        <f aca="false">'IT Experts'!I29/COUNT('IT Experts'!$C29:$G29)</f>
        <v>0.2</v>
      </c>
      <c r="D51" s="7" t="n">
        <f aca="false">'IT Experts'!J29</f>
        <v>0</v>
      </c>
      <c r="E51" s="39" t="n">
        <f aca="false">'IT Experts'!J29/COUNT('IT Experts'!$C29:$G29)</f>
        <v>0</v>
      </c>
      <c r="F51" s="7" t="n">
        <f aca="false">'IT Experts'!K29</f>
        <v>0</v>
      </c>
      <c r="G51" s="39" t="n">
        <f aca="false">'IT Experts'!K29/COUNT('IT Experts'!$C29:$G29)</f>
        <v>0</v>
      </c>
      <c r="H51" s="7" t="n">
        <f aca="false">'IT Experts'!L29</f>
        <v>3</v>
      </c>
      <c r="I51" s="39" t="n">
        <f aca="false">'IT Experts'!L29/COUNT('IT Experts'!$C29:$G29)</f>
        <v>0.6</v>
      </c>
      <c r="J51" s="7" t="n">
        <f aca="false">'IT Experts'!M29</f>
        <v>1</v>
      </c>
      <c r="K51" s="39" t="n">
        <f aca="false">'IT Experts'!M29/COUNT('IT Experts'!$C29:$G29)</f>
        <v>0.2</v>
      </c>
      <c r="L51" s="40" t="n">
        <f aca="false">'IT Experts'!H29</f>
        <v>2.4</v>
      </c>
      <c r="M51" s="7" t="str">
        <f aca="false">IF('IT Experts'!H29&gt;='Scoring Rubrics'!$A$38,'Scoring Rubrics'!$C$38,IF('IT Experts'!H29&gt;='Scoring Rubrics'!$A$39,'Scoring Rubrics'!$C$39,IF('IT Experts'!H29&gt;='Scoring Rubrics'!$A$40,'Scoring Rubrics'!$C$40,IF('IT Experts'!H29&gt;='Scoring Rubrics'!$A$41,'Scoring Rubrics'!$C$41,'Scoring Rubrics'!$C$42))))</f>
        <v>Unreliable</v>
      </c>
    </row>
    <row r="52" customFormat="false" ht="14.25" hidden="false" customHeight="true" outlineLevel="0" collapsed="false">
      <c r="A52" s="41" t="s">
        <v>274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2" t="n">
        <f aca="false">'IT Experts'!H30</f>
        <v>3.33333333333333</v>
      </c>
      <c r="M52" s="38" t="str">
        <f aca="false">IF('IT Experts'!H30&gt;='Scoring Rubrics'!$A$38,'Scoring Rubrics'!$C$38,IF('IT Experts'!H30&gt;='Scoring Rubrics'!$A$39,'Scoring Rubrics'!$C$39,IF('IT Experts'!H30&gt;='Scoring Rubrics'!$A$40,'Scoring Rubrics'!$C$40,IF('IT Experts'!H30&gt;='Scoring Rubrics'!$A$41,'Scoring Rubrics'!$C$41,'Scoring Rubrics'!$C$42))))</f>
        <v>Slightly Reliable</v>
      </c>
    </row>
    <row r="53" customFormat="false" ht="37.5" hidden="false" customHeight="true" outlineLevel="0" collapsed="false">
      <c r="A53" s="43" t="s">
        <v>287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6" customFormat="false" ht="14.25" hidden="false" customHeight="true" outlineLevel="0" collapsed="false">
      <c r="A56" s="2" t="s">
        <v>288</v>
      </c>
    </row>
    <row r="57" customFormat="false" ht="26.25" hidden="false" customHeight="true" outlineLevel="0" collapsed="false">
      <c r="A57" s="36" t="s">
        <v>289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customFormat="false" ht="39.75" hidden="false" customHeight="true" outlineLevel="0" collapsed="false">
      <c r="A58" s="37" t="s">
        <v>168</v>
      </c>
      <c r="B58" s="5" t="s">
        <v>267</v>
      </c>
      <c r="C58" s="5"/>
      <c r="D58" s="5" t="s">
        <v>268</v>
      </c>
      <c r="E58" s="5"/>
      <c r="F58" s="5" t="s">
        <v>269</v>
      </c>
      <c r="G58" s="5"/>
      <c r="H58" s="5" t="s">
        <v>270</v>
      </c>
      <c r="I58" s="5"/>
      <c r="J58" s="5" t="s">
        <v>271</v>
      </c>
      <c r="K58" s="5"/>
      <c r="L58" s="37" t="s">
        <v>174</v>
      </c>
      <c r="M58" s="37" t="s">
        <v>18</v>
      </c>
    </row>
    <row r="59" customFormat="false" ht="14.25" hidden="false" customHeight="true" outlineLevel="0" collapsed="false">
      <c r="A59" s="37"/>
      <c r="B59" s="38" t="s">
        <v>272</v>
      </c>
      <c r="C59" s="38" t="s">
        <v>273</v>
      </c>
      <c r="D59" s="38" t="s">
        <v>272</v>
      </c>
      <c r="E59" s="38" t="s">
        <v>273</v>
      </c>
      <c r="F59" s="38" t="s">
        <v>272</v>
      </c>
      <c r="G59" s="38" t="s">
        <v>273</v>
      </c>
      <c r="H59" s="38" t="s">
        <v>272</v>
      </c>
      <c r="I59" s="38" t="s">
        <v>273</v>
      </c>
      <c r="J59" s="38" t="s">
        <v>272</v>
      </c>
      <c r="K59" s="38" t="s">
        <v>273</v>
      </c>
      <c r="L59" s="37"/>
      <c r="M59" s="37"/>
    </row>
    <row r="60" customFormat="false" ht="38.25" hidden="false" customHeight="true" outlineLevel="0" collapsed="false">
      <c r="A60" s="6" t="s">
        <v>206</v>
      </c>
      <c r="B60" s="7" t="n">
        <f aca="false">'IT Experts'!I32</f>
        <v>1</v>
      </c>
      <c r="C60" s="39" t="n">
        <f aca="false">'IT Experts'!I32/COUNT('IT Experts'!$C32:$G32)</f>
        <v>0.2</v>
      </c>
      <c r="D60" s="7" t="n">
        <f aca="false">'IT Experts'!J32</f>
        <v>1</v>
      </c>
      <c r="E60" s="39" t="n">
        <f aca="false">'IT Experts'!J32/COUNT('IT Experts'!$C32:$G32)</f>
        <v>0.2</v>
      </c>
      <c r="F60" s="7" t="n">
        <f aca="false">'IT Experts'!K32</f>
        <v>1</v>
      </c>
      <c r="G60" s="39" t="n">
        <f aca="false">'IT Experts'!K32/COUNT('IT Experts'!$C32:$G32)</f>
        <v>0.2</v>
      </c>
      <c r="H60" s="7" t="n">
        <f aca="false">'IT Experts'!L32</f>
        <v>1</v>
      </c>
      <c r="I60" s="39" t="n">
        <f aca="false">'IT Experts'!L32/COUNT('IT Experts'!$C32:$G32)</f>
        <v>0.2</v>
      </c>
      <c r="J60" s="7" t="n">
        <f aca="false">'IT Experts'!M32</f>
        <v>1</v>
      </c>
      <c r="K60" s="39" t="n">
        <f aca="false">'IT Experts'!M32/COUNT('IT Experts'!$C32:$G32)</f>
        <v>0.2</v>
      </c>
      <c r="L60" s="40" t="n">
        <f aca="false">'IT Experts'!H32</f>
        <v>3</v>
      </c>
      <c r="M60" s="7" t="str">
        <f aca="false">IF('IT Experts'!H32&gt;='Scoring Rubrics'!$A$54,'Scoring Rubrics'!$C$54,IF('IT Experts'!H32&gt;='Scoring Rubrics'!$A$55,'Scoring Rubrics'!$C$55,IF('IT Experts'!H32&gt;='Scoring Rubrics'!$A$56,'Scoring Rubrics'!$C$56,IF('IT Experts'!H32&gt;='Scoring Rubrics'!$A$57,'Scoring Rubrics'!$C$57,'Scoring Rubrics'!$C$58))))</f>
        <v>Less Maintainable</v>
      </c>
    </row>
    <row r="61" customFormat="false" ht="38.25" hidden="false" customHeight="true" outlineLevel="0" collapsed="false">
      <c r="A61" s="6" t="s">
        <v>207</v>
      </c>
      <c r="B61" s="7" t="n">
        <f aca="false">'IT Experts'!I33</f>
        <v>2</v>
      </c>
      <c r="C61" s="39" t="n">
        <f aca="false">'IT Experts'!I33/COUNT('IT Experts'!$C33:$G33)</f>
        <v>0.4</v>
      </c>
      <c r="D61" s="7" t="n">
        <f aca="false">'IT Experts'!J33</f>
        <v>2</v>
      </c>
      <c r="E61" s="39" t="n">
        <f aca="false">'IT Experts'!J33/COUNT('IT Experts'!$C33:$G33)</f>
        <v>0.4</v>
      </c>
      <c r="F61" s="7" t="n">
        <f aca="false">'IT Experts'!K33</f>
        <v>0</v>
      </c>
      <c r="G61" s="39" t="n">
        <f aca="false">'IT Experts'!K33/COUNT('IT Experts'!$C33:$G33)</f>
        <v>0</v>
      </c>
      <c r="H61" s="7" t="n">
        <f aca="false">'IT Experts'!L33</f>
        <v>0</v>
      </c>
      <c r="I61" s="39" t="n">
        <f aca="false">'IT Experts'!L33/COUNT('IT Experts'!$C33:$G33)</f>
        <v>0</v>
      </c>
      <c r="J61" s="7" t="n">
        <f aca="false">'IT Experts'!M33</f>
        <v>1</v>
      </c>
      <c r="K61" s="39" t="n">
        <f aca="false">'IT Experts'!M33/COUNT('IT Experts'!$C33:$G33)</f>
        <v>0.2</v>
      </c>
      <c r="L61" s="40" t="n">
        <f aca="false">'IT Experts'!H33</f>
        <v>3.8</v>
      </c>
      <c r="M61" s="7" t="str">
        <f aca="false">IF('IT Experts'!H33&gt;='Scoring Rubrics'!$A$54,'Scoring Rubrics'!$C$54,IF('IT Experts'!H33&gt;='Scoring Rubrics'!$A$55,'Scoring Rubrics'!$C$55,IF('IT Experts'!H33&gt;='Scoring Rubrics'!$A$56,'Scoring Rubrics'!$C$56,IF('IT Experts'!H33&gt;='Scoring Rubrics'!$A$57,'Scoring Rubrics'!$C$57,'Scoring Rubrics'!$C$58))))</f>
        <v>Maintainable</v>
      </c>
    </row>
    <row r="62" customFormat="false" ht="38.25" hidden="false" customHeight="true" outlineLevel="0" collapsed="false">
      <c r="A62" s="6" t="s">
        <v>208</v>
      </c>
      <c r="B62" s="7" t="n">
        <f aca="false">'IT Experts'!I34</f>
        <v>0</v>
      </c>
      <c r="C62" s="39" t="n">
        <f aca="false">'IT Experts'!I34/COUNT('IT Experts'!$C34:$G34)</f>
        <v>0</v>
      </c>
      <c r="D62" s="7" t="n">
        <f aca="false">'IT Experts'!J34</f>
        <v>1</v>
      </c>
      <c r="E62" s="39" t="n">
        <f aca="false">'IT Experts'!J34/COUNT('IT Experts'!$C34:$G34)</f>
        <v>0.2</v>
      </c>
      <c r="F62" s="7" t="n">
        <f aca="false">'IT Experts'!K34</f>
        <v>0</v>
      </c>
      <c r="G62" s="39" t="n">
        <f aca="false">'IT Experts'!K34/COUNT('IT Experts'!$C34:$G34)</f>
        <v>0</v>
      </c>
      <c r="H62" s="7" t="n">
        <f aca="false">'IT Experts'!L34</f>
        <v>2</v>
      </c>
      <c r="I62" s="39" t="n">
        <f aca="false">'IT Experts'!L34/COUNT('IT Experts'!$C34:$G34)</f>
        <v>0.4</v>
      </c>
      <c r="J62" s="7" t="n">
        <f aca="false">'IT Experts'!M34</f>
        <v>2</v>
      </c>
      <c r="K62" s="39" t="n">
        <f aca="false">'IT Experts'!M34/COUNT('IT Experts'!$C34:$G34)</f>
        <v>0.4</v>
      </c>
      <c r="L62" s="40" t="n">
        <f aca="false">'IT Experts'!H34</f>
        <v>2</v>
      </c>
      <c r="M62" s="7" t="str">
        <f aca="false">IF('IT Experts'!H34&gt;='Scoring Rubrics'!$A$54,'Scoring Rubrics'!$C$54,IF('IT Experts'!H34&gt;='Scoring Rubrics'!$A$55,'Scoring Rubrics'!$C$55,IF('IT Experts'!H34&gt;='Scoring Rubrics'!$A$56,'Scoring Rubrics'!$C$56,IF('IT Experts'!H34&gt;='Scoring Rubrics'!$A$57,'Scoring Rubrics'!$C$57,'Scoring Rubrics'!$C$58))))</f>
        <v>Hardly Maintainable</v>
      </c>
    </row>
    <row r="63" customFormat="false" ht="14.25" hidden="false" customHeight="true" outlineLevel="0" collapsed="false">
      <c r="A63" s="41" t="s">
        <v>274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2" t="n">
        <f aca="false">'IT Experts'!H35</f>
        <v>2.93333333333333</v>
      </c>
      <c r="M63" s="38" t="str">
        <f aca="false">IF('IT Experts'!H35&gt;='Scoring Rubrics'!$A$54,'Scoring Rubrics'!$C$54,IF('IT Experts'!H35&gt;='Scoring Rubrics'!$A$55,'Scoring Rubrics'!$C$55,IF('IT Experts'!H35&gt;='Scoring Rubrics'!$A$56,'Scoring Rubrics'!$C$56,IF('IT Experts'!H35&gt;='Scoring Rubrics'!$A$57,'Scoring Rubrics'!$C$57,'Scoring Rubrics'!$C$58))))</f>
        <v>Less Maintainable</v>
      </c>
    </row>
    <row r="64" customFormat="false" ht="37.5" hidden="false" customHeight="true" outlineLevel="0" collapsed="false">
      <c r="A64" s="43" t="s">
        <v>290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7" customFormat="false" ht="14.25" hidden="false" customHeight="true" outlineLevel="0" collapsed="false">
      <c r="A67" s="2" t="s">
        <v>291</v>
      </c>
    </row>
    <row r="68" customFormat="false" ht="26.25" hidden="false" customHeight="true" outlineLevel="0" collapsed="false">
      <c r="A68" s="36" t="s">
        <v>292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customFormat="false" ht="39.75" hidden="false" customHeight="true" outlineLevel="0" collapsed="false">
      <c r="A69" s="37" t="s">
        <v>168</v>
      </c>
      <c r="B69" s="5" t="s">
        <v>267</v>
      </c>
      <c r="C69" s="5"/>
      <c r="D69" s="5" t="s">
        <v>268</v>
      </c>
      <c r="E69" s="5"/>
      <c r="F69" s="5" t="s">
        <v>269</v>
      </c>
      <c r="G69" s="5"/>
      <c r="H69" s="5" t="s">
        <v>270</v>
      </c>
      <c r="I69" s="5"/>
      <c r="J69" s="5" t="s">
        <v>271</v>
      </c>
      <c r="K69" s="5"/>
      <c r="L69" s="37" t="s">
        <v>174</v>
      </c>
      <c r="M69" s="37" t="s">
        <v>18</v>
      </c>
    </row>
    <row r="70" customFormat="false" ht="14.25" hidden="false" customHeight="true" outlineLevel="0" collapsed="false">
      <c r="A70" s="37"/>
      <c r="B70" s="38" t="s">
        <v>272</v>
      </c>
      <c r="C70" s="38" t="s">
        <v>273</v>
      </c>
      <c r="D70" s="38" t="s">
        <v>272</v>
      </c>
      <c r="E70" s="38" t="s">
        <v>273</v>
      </c>
      <c r="F70" s="38" t="s">
        <v>272</v>
      </c>
      <c r="G70" s="38" t="s">
        <v>273</v>
      </c>
      <c r="H70" s="38" t="s">
        <v>272</v>
      </c>
      <c r="I70" s="38" t="s">
        <v>273</v>
      </c>
      <c r="J70" s="38" t="s">
        <v>272</v>
      </c>
      <c r="K70" s="38" t="s">
        <v>273</v>
      </c>
      <c r="L70" s="37"/>
      <c r="M70" s="37"/>
    </row>
    <row r="71" customFormat="false" ht="38.25" hidden="false" customHeight="true" outlineLevel="0" collapsed="false">
      <c r="A71" s="6" t="s">
        <v>211</v>
      </c>
      <c r="B71" s="7" t="n">
        <f aca="false">'IT Experts'!I37</f>
        <v>1</v>
      </c>
      <c r="C71" s="39" t="n">
        <f aca="false">'IT Experts'!I37/COUNT('IT Experts'!$C37:$G37)</f>
        <v>0.2</v>
      </c>
      <c r="D71" s="7" t="n">
        <f aca="false">'IT Experts'!J37</f>
        <v>3</v>
      </c>
      <c r="E71" s="39" t="n">
        <f aca="false">'IT Experts'!J37/COUNT('IT Experts'!$C37:$G37)</f>
        <v>0.6</v>
      </c>
      <c r="F71" s="7" t="n">
        <f aca="false">'IT Experts'!K37</f>
        <v>1</v>
      </c>
      <c r="G71" s="39" t="n">
        <f aca="false">'IT Experts'!K37/COUNT('IT Experts'!$C37:$G37)</f>
        <v>0.2</v>
      </c>
      <c r="H71" s="7" t="n">
        <f aca="false">'IT Experts'!L37</f>
        <v>0</v>
      </c>
      <c r="I71" s="39" t="n">
        <f aca="false">'IT Experts'!L37/COUNT('IT Experts'!$C37:$G37)</f>
        <v>0</v>
      </c>
      <c r="J71" s="7" t="n">
        <f aca="false">'IT Experts'!M37</f>
        <v>0</v>
      </c>
      <c r="K71" s="39" t="n">
        <f aca="false">'IT Experts'!M37/COUNT('IT Experts'!$C37:$G37)</f>
        <v>0</v>
      </c>
      <c r="L71" s="40" t="n">
        <f aca="false">'IT Experts'!H37</f>
        <v>4</v>
      </c>
      <c r="M71" s="7" t="str">
        <f aca="false">IF('IT Experts'!H37&gt;='Scoring Rubrics'!$A$62,'Scoring Rubrics'!$C$62,IF('IT Experts'!H37&gt;='Scoring Rubrics'!$A$63,'Scoring Rubrics'!$C$63,IF('IT Experts'!H37&gt;='Scoring Rubrics'!$A$64,'Scoring Rubrics'!$C$64,IF('IT Experts'!H37&gt;='Scoring Rubrics'!$A$65,'Scoring Rubrics'!$C$65,'Scoring Rubrics'!$C$66))))</f>
        <v>Flexible</v>
      </c>
    </row>
    <row r="72" customFormat="false" ht="38.25" hidden="false" customHeight="true" outlineLevel="0" collapsed="false">
      <c r="A72" s="6" t="s">
        <v>212</v>
      </c>
      <c r="B72" s="7" t="n">
        <f aca="false">'IT Experts'!I38</f>
        <v>0</v>
      </c>
      <c r="C72" s="39" t="n">
        <f aca="false">'IT Experts'!I38/COUNT('IT Experts'!$C38:$G38)</f>
        <v>0</v>
      </c>
      <c r="D72" s="7" t="n">
        <f aca="false">'IT Experts'!J38</f>
        <v>4</v>
      </c>
      <c r="E72" s="39" t="n">
        <f aca="false">'IT Experts'!J38/COUNT('IT Experts'!$C38:$G38)</f>
        <v>0.8</v>
      </c>
      <c r="F72" s="7" t="n">
        <f aca="false">'IT Experts'!K38</f>
        <v>1</v>
      </c>
      <c r="G72" s="39" t="n">
        <f aca="false">'IT Experts'!K38/COUNT('IT Experts'!$C38:$G38)</f>
        <v>0.2</v>
      </c>
      <c r="H72" s="7" t="n">
        <f aca="false">'IT Experts'!L38</f>
        <v>0</v>
      </c>
      <c r="I72" s="39" t="n">
        <f aca="false">'IT Experts'!L38/COUNT('IT Experts'!$C38:$G38)</f>
        <v>0</v>
      </c>
      <c r="J72" s="7" t="n">
        <f aca="false">'IT Experts'!M38</f>
        <v>0</v>
      </c>
      <c r="K72" s="39" t="n">
        <f aca="false">'IT Experts'!M38/COUNT('IT Experts'!$C38:$G38)</f>
        <v>0</v>
      </c>
      <c r="L72" s="40" t="n">
        <f aca="false">'IT Experts'!H38</f>
        <v>3.8</v>
      </c>
      <c r="M72" s="7" t="str">
        <f aca="false">IF('IT Experts'!H38&gt;='Scoring Rubrics'!$A$62,'Scoring Rubrics'!$C$62,IF('IT Experts'!H38&gt;='Scoring Rubrics'!$A$63,'Scoring Rubrics'!$C$63,IF('IT Experts'!H38&gt;='Scoring Rubrics'!$A$64,'Scoring Rubrics'!$C$64,IF('IT Experts'!H38&gt;='Scoring Rubrics'!$A$65,'Scoring Rubrics'!$C$65,'Scoring Rubrics'!$C$66))))</f>
        <v>Flexible</v>
      </c>
    </row>
    <row r="73" customFormat="false" ht="38.25" hidden="false" customHeight="true" outlineLevel="0" collapsed="false">
      <c r="A73" s="6" t="s">
        <v>213</v>
      </c>
      <c r="B73" s="7" t="n">
        <f aca="false">'IT Experts'!I39</f>
        <v>1</v>
      </c>
      <c r="C73" s="39" t="n">
        <f aca="false">'IT Experts'!I39/COUNT('IT Experts'!$C39:$G39)</f>
        <v>0.2</v>
      </c>
      <c r="D73" s="7" t="n">
        <f aca="false">'IT Experts'!J39</f>
        <v>0</v>
      </c>
      <c r="E73" s="39" t="n">
        <f aca="false">'IT Experts'!J39/COUNT('IT Experts'!$C39:$G39)</f>
        <v>0</v>
      </c>
      <c r="F73" s="7" t="n">
        <f aca="false">'IT Experts'!K39</f>
        <v>4</v>
      </c>
      <c r="G73" s="39" t="n">
        <f aca="false">'IT Experts'!K39/COUNT('IT Experts'!$C39:$G39)</f>
        <v>0.8</v>
      </c>
      <c r="H73" s="7" t="n">
        <f aca="false">'IT Experts'!L39</f>
        <v>0</v>
      </c>
      <c r="I73" s="39" t="n">
        <f aca="false">'IT Experts'!L39/COUNT('IT Experts'!$C39:$G39)</f>
        <v>0</v>
      </c>
      <c r="J73" s="7" t="n">
        <f aca="false">'IT Experts'!M39</f>
        <v>0</v>
      </c>
      <c r="K73" s="39" t="n">
        <f aca="false">'IT Experts'!M39/COUNT('IT Experts'!$C39:$G39)</f>
        <v>0</v>
      </c>
      <c r="L73" s="40" t="n">
        <f aca="false">'IT Experts'!H39</f>
        <v>3.4</v>
      </c>
      <c r="M73" s="7" t="str">
        <f aca="false">IF('IT Experts'!H39&gt;='Scoring Rubrics'!$A$62,'Scoring Rubrics'!$C$62,IF('IT Experts'!H39&gt;='Scoring Rubrics'!$A$63,'Scoring Rubrics'!$C$63,IF('IT Experts'!H39&gt;='Scoring Rubrics'!$A$64,'Scoring Rubrics'!$C$64,IF('IT Experts'!H39&gt;='Scoring Rubrics'!$A$65,'Scoring Rubrics'!$C$65,'Scoring Rubrics'!$C$66))))</f>
        <v>Less Flexible</v>
      </c>
    </row>
    <row r="74" customFormat="false" ht="14.25" hidden="false" customHeight="true" outlineLevel="0" collapsed="false">
      <c r="A74" s="41" t="s">
        <v>274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2" t="n">
        <f aca="false">'IT Experts'!H40</f>
        <v>3.73333333333333</v>
      </c>
      <c r="M74" s="38" t="str">
        <f aca="false">IF('IT Experts'!H40&gt;='Scoring Rubrics'!$A$62,'Scoring Rubrics'!$C$62,IF('IT Experts'!H40&gt;='Scoring Rubrics'!$A$63,'Scoring Rubrics'!$C$63,IF('IT Experts'!H40&gt;='Scoring Rubrics'!$A$64,'Scoring Rubrics'!$C$64,IF('IT Experts'!H40&gt;='Scoring Rubrics'!$A$65,'Scoring Rubrics'!$C$65,'Scoring Rubrics'!$C$66))))</f>
        <v>Flexible</v>
      </c>
    </row>
    <row r="75" customFormat="false" ht="37.5" hidden="false" customHeight="true" outlineLevel="0" collapsed="false">
      <c r="A75" s="43" t="s">
        <v>293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8" customFormat="false" ht="14.25" hidden="false" customHeight="true" outlineLevel="0" collapsed="false">
      <c r="A78" s="2" t="s">
        <v>294</v>
      </c>
    </row>
    <row r="79" customFormat="false" ht="26.25" hidden="false" customHeight="true" outlineLevel="0" collapsed="false">
      <c r="A79" s="36" t="s">
        <v>295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 customFormat="false" ht="39.75" hidden="false" customHeight="true" outlineLevel="0" collapsed="false">
      <c r="A80" s="37" t="s">
        <v>168</v>
      </c>
      <c r="B80" s="5" t="s">
        <v>267</v>
      </c>
      <c r="C80" s="5"/>
      <c r="D80" s="5" t="s">
        <v>268</v>
      </c>
      <c r="E80" s="5"/>
      <c r="F80" s="5" t="s">
        <v>269</v>
      </c>
      <c r="G80" s="5"/>
      <c r="H80" s="5" t="s">
        <v>270</v>
      </c>
      <c r="I80" s="5"/>
      <c r="J80" s="5" t="s">
        <v>271</v>
      </c>
      <c r="K80" s="5"/>
      <c r="L80" s="37" t="s">
        <v>174</v>
      </c>
      <c r="M80" s="37" t="s">
        <v>18</v>
      </c>
    </row>
    <row r="81" customFormat="false" ht="14.25" hidden="false" customHeight="true" outlineLevel="0" collapsed="false">
      <c r="A81" s="37"/>
      <c r="B81" s="38" t="s">
        <v>272</v>
      </c>
      <c r="C81" s="38" t="s">
        <v>273</v>
      </c>
      <c r="D81" s="38" t="s">
        <v>272</v>
      </c>
      <c r="E81" s="38" t="s">
        <v>273</v>
      </c>
      <c r="F81" s="38" t="s">
        <v>272</v>
      </c>
      <c r="G81" s="38" t="s">
        <v>273</v>
      </c>
      <c r="H81" s="38" t="s">
        <v>272</v>
      </c>
      <c r="I81" s="38" t="s">
        <v>273</v>
      </c>
      <c r="J81" s="38" t="s">
        <v>272</v>
      </c>
      <c r="K81" s="38" t="s">
        <v>273</v>
      </c>
      <c r="L81" s="37"/>
      <c r="M81" s="37"/>
    </row>
    <row r="82" customFormat="false" ht="38.25" hidden="false" customHeight="true" outlineLevel="0" collapsed="false">
      <c r="A82" s="6" t="s">
        <v>216</v>
      </c>
      <c r="B82" s="7" t="n">
        <f aca="false">'IT Experts'!I42</f>
        <v>0</v>
      </c>
      <c r="C82" s="39" t="n">
        <f aca="false">'IT Experts'!I42/COUNT('IT Experts'!$C42:$G42)</f>
        <v>0</v>
      </c>
      <c r="D82" s="7" t="n">
        <f aca="false">'IT Experts'!J42</f>
        <v>5</v>
      </c>
      <c r="E82" s="39" t="n">
        <f aca="false">'IT Experts'!J42/COUNT('IT Experts'!$C42:$G42)</f>
        <v>1</v>
      </c>
      <c r="F82" s="7" t="n">
        <f aca="false">'IT Experts'!K42</f>
        <v>0</v>
      </c>
      <c r="G82" s="39" t="n">
        <f aca="false">'IT Experts'!K42/COUNT('IT Experts'!$C42:$G42)</f>
        <v>0</v>
      </c>
      <c r="H82" s="7" t="n">
        <f aca="false">'IT Experts'!L42</f>
        <v>0</v>
      </c>
      <c r="I82" s="39" t="n">
        <f aca="false">'IT Experts'!L42/COUNT('IT Experts'!$C42:$G42)</f>
        <v>0</v>
      </c>
      <c r="J82" s="7" t="n">
        <f aca="false">'IT Experts'!M42</f>
        <v>0</v>
      </c>
      <c r="K82" s="39" t="n">
        <f aca="false">'IT Experts'!M42/COUNT('IT Experts'!$C42:$G42)</f>
        <v>0</v>
      </c>
      <c r="L82" s="40" t="n">
        <f aca="false">'IT Experts'!H42</f>
        <v>4</v>
      </c>
      <c r="M82" s="7" t="str">
        <f aca="false">IF('IT Experts'!H42&gt;='Scoring Rubrics'!$A$70,'Scoring Rubrics'!$C$70,IF('IT Experts'!H42&gt;='Scoring Rubrics'!$A$71,'Scoring Rubrics'!$C$71,IF('IT Experts'!H42&gt;='Scoring Rubrics'!$A$72,'Scoring Rubrics'!$C$72,IF('IT Experts'!H42&gt;='Scoring Rubrics'!$A$73,'Scoring Rubrics'!$C$73,'Scoring Rubrics'!$C$74))))</f>
        <v>Safe</v>
      </c>
    </row>
    <row r="83" customFormat="false" ht="38.25" hidden="false" customHeight="true" outlineLevel="0" collapsed="false">
      <c r="A83" s="6" t="s">
        <v>217</v>
      </c>
      <c r="B83" s="7" t="n">
        <f aca="false">'IT Experts'!I43</f>
        <v>1</v>
      </c>
      <c r="C83" s="39" t="n">
        <f aca="false">'IT Experts'!I43/COUNT('IT Experts'!$C43:$G43)</f>
        <v>0.2</v>
      </c>
      <c r="D83" s="7" t="n">
        <f aca="false">'IT Experts'!J43</f>
        <v>4</v>
      </c>
      <c r="E83" s="39" t="n">
        <f aca="false">'IT Experts'!J43/COUNT('IT Experts'!$C43:$G43)</f>
        <v>0.8</v>
      </c>
      <c r="F83" s="7" t="n">
        <f aca="false">'IT Experts'!K43</f>
        <v>0</v>
      </c>
      <c r="G83" s="39" t="n">
        <f aca="false">'IT Experts'!K43/COUNT('IT Experts'!$C43:$G43)</f>
        <v>0</v>
      </c>
      <c r="H83" s="7" t="n">
        <f aca="false">'IT Experts'!L43</f>
        <v>0</v>
      </c>
      <c r="I83" s="39" t="n">
        <f aca="false">'IT Experts'!L43/COUNT('IT Experts'!$C43:$G43)</f>
        <v>0</v>
      </c>
      <c r="J83" s="7" t="n">
        <f aca="false">'IT Experts'!M43</f>
        <v>0</v>
      </c>
      <c r="K83" s="39" t="n">
        <f aca="false">'IT Experts'!M43/COUNT('IT Experts'!$C43:$G43)</f>
        <v>0</v>
      </c>
      <c r="L83" s="40" t="n">
        <f aca="false">'IT Experts'!H43</f>
        <v>4.2</v>
      </c>
      <c r="M83" s="7" t="str">
        <f aca="false">IF('IT Experts'!H43&gt;='Scoring Rubrics'!$A$70,'Scoring Rubrics'!$C$70,IF('IT Experts'!H43&gt;='Scoring Rubrics'!$A$71,'Scoring Rubrics'!$C$71,IF('IT Experts'!H43&gt;='Scoring Rubrics'!$A$72,'Scoring Rubrics'!$C$72,IF('IT Experts'!H43&gt;='Scoring Rubrics'!$A$73,'Scoring Rubrics'!$C$73,'Scoring Rubrics'!$C$74))))</f>
        <v>Safe</v>
      </c>
    </row>
    <row r="84" customFormat="false" ht="38.25" hidden="false" customHeight="true" outlineLevel="0" collapsed="false">
      <c r="A84" s="6" t="s">
        <v>218</v>
      </c>
      <c r="B84" s="7" t="n">
        <f aca="false">'IT Experts'!I44</f>
        <v>0</v>
      </c>
      <c r="C84" s="39" t="n">
        <f aca="false">'IT Experts'!I44/COUNT('IT Experts'!$C44:$G44)</f>
        <v>0</v>
      </c>
      <c r="D84" s="7" t="n">
        <f aca="false">'IT Experts'!J44</f>
        <v>3</v>
      </c>
      <c r="E84" s="39" t="n">
        <f aca="false">'IT Experts'!J44/COUNT('IT Experts'!$C44:$G44)</f>
        <v>0.6</v>
      </c>
      <c r="F84" s="7" t="n">
        <f aca="false">'IT Experts'!K44</f>
        <v>2</v>
      </c>
      <c r="G84" s="39" t="n">
        <f aca="false">'IT Experts'!K44/COUNT('IT Experts'!$C44:$G44)</f>
        <v>0.4</v>
      </c>
      <c r="H84" s="7" t="n">
        <f aca="false">'IT Experts'!L44</f>
        <v>0</v>
      </c>
      <c r="I84" s="39" t="n">
        <f aca="false">'IT Experts'!L44/COUNT('IT Experts'!$C44:$G44)</f>
        <v>0</v>
      </c>
      <c r="J84" s="7" t="n">
        <f aca="false">'IT Experts'!M44</f>
        <v>0</v>
      </c>
      <c r="K84" s="39" t="n">
        <f aca="false">'IT Experts'!M44/COUNT('IT Experts'!$C44:$G44)</f>
        <v>0</v>
      </c>
      <c r="L84" s="40" t="n">
        <f aca="false">'IT Experts'!H44</f>
        <v>3.6</v>
      </c>
      <c r="M84" s="7" t="str">
        <f aca="false">IF('IT Experts'!H44&gt;='Scoring Rubrics'!$A$70,'Scoring Rubrics'!$C$70,IF('IT Experts'!H44&gt;='Scoring Rubrics'!$A$71,'Scoring Rubrics'!$C$71,IF('IT Experts'!H44&gt;='Scoring Rubrics'!$A$72,'Scoring Rubrics'!$C$72,IF('IT Experts'!H44&gt;='Scoring Rubrics'!$A$73,'Scoring Rubrics'!$C$73,'Scoring Rubrics'!$C$74))))</f>
        <v>Safe</v>
      </c>
    </row>
    <row r="85" customFormat="false" ht="14.25" hidden="false" customHeight="true" outlineLevel="0" collapsed="false">
      <c r="A85" s="41" t="s">
        <v>274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2" t="n">
        <f aca="false">'IT Experts'!H45</f>
        <v>3.93333333333333</v>
      </c>
      <c r="M85" s="38" t="str">
        <f aca="false">IF('IT Experts'!H45&gt;='Scoring Rubrics'!$A$70,'Scoring Rubrics'!$C$70,IF('IT Experts'!H45&gt;='Scoring Rubrics'!$A$71,'Scoring Rubrics'!$C$71,IF('IT Experts'!H45&gt;='Scoring Rubrics'!$A$72,'Scoring Rubrics'!$C$72,IF('IT Experts'!H45&gt;='Scoring Rubrics'!$A$73,'Scoring Rubrics'!$C$73,'Scoring Rubrics'!$C$74))))</f>
        <v>Safe</v>
      </c>
    </row>
    <row r="86" customFormat="false" ht="37.5" hidden="false" customHeight="true" outlineLevel="0" collapsed="false">
      <c r="A86" s="43" t="s">
        <v>296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9" customFormat="false" ht="14.25" hidden="false" customHeight="true" outlineLevel="0" collapsed="false">
      <c r="A89" s="2" t="s">
        <v>297</v>
      </c>
    </row>
    <row r="90" customFormat="false" ht="15" hidden="false" customHeight="true" outlineLevel="0" collapsed="false">
      <c r="A90" s="36" t="s">
        <v>298</v>
      </c>
      <c r="B90" s="36"/>
      <c r="C90" s="36"/>
      <c r="D90" s="36"/>
      <c r="E90" s="36"/>
      <c r="F90" s="36"/>
      <c r="G90" s="36"/>
      <c r="H90" s="36"/>
    </row>
    <row r="91" customFormat="false" ht="34.5" hidden="false" customHeight="true" outlineLevel="0" collapsed="false">
      <c r="A91" s="37" t="s">
        <v>299</v>
      </c>
      <c r="B91" s="37" t="s">
        <v>174</v>
      </c>
      <c r="C91" s="37"/>
      <c r="D91" s="44" t="s">
        <v>18</v>
      </c>
      <c r="E91" s="44"/>
      <c r="F91" s="44"/>
      <c r="G91" s="44"/>
      <c r="H91" s="44"/>
    </row>
    <row r="92" customFormat="false" ht="14.25" hidden="false" customHeight="true" outlineLevel="0" collapsed="false">
      <c r="A92" s="6" t="s">
        <v>300</v>
      </c>
      <c r="B92" s="45" t="n">
        <f aca="false">'IT Experts'!H10</f>
        <v>4.86666666666667</v>
      </c>
      <c r="C92" s="45"/>
      <c r="D92" s="46" t="str">
        <f aca="false">IF('IT Experts'!H10&gt;='Scoring Rubrics'!$A$6,'Scoring Rubrics'!$C$6,IF('IT Experts'!H10&gt;='Scoring Rubrics'!$A$7,'Scoring Rubrics'!$C$7,IF('IT Experts'!H10&gt;='Scoring Rubrics'!$A$8,'Scoring Rubrics'!$C$8,IF('IT Experts'!H10&gt;='Scoring Rubrics'!$A$9,'Scoring Rubrics'!$C$9,'Scoring Rubrics'!$C$10))))</f>
        <v>Highly Suitable</v>
      </c>
      <c r="E92" s="46"/>
      <c r="F92" s="46"/>
      <c r="G92" s="46"/>
      <c r="H92" s="46"/>
    </row>
    <row r="93" customFormat="false" ht="14.25" hidden="false" customHeight="true" outlineLevel="0" collapsed="false">
      <c r="A93" s="6" t="s">
        <v>301</v>
      </c>
      <c r="B93" s="45" t="n">
        <f aca="false">'IT Experts'!H15</f>
        <v>4.06666666666667</v>
      </c>
      <c r="C93" s="45"/>
      <c r="D93" s="46" t="str">
        <f aca="false">IF('IT Experts'!H15&gt;='Scoring Rubrics'!$A$14,'Scoring Rubrics'!$C$14,IF('IT Experts'!H15&gt;='Scoring Rubrics'!$A$15,'Scoring Rubrics'!$C$15,IF('IT Experts'!H15&gt;='Scoring Rubrics'!$A$16,'Scoring Rubrics'!$C$16,IF('IT Experts'!H15&gt;='Scoring Rubrics'!$A$17,'Scoring Rubrics'!$C$17,'Scoring Rubrics'!$C$18))))</f>
        <v>Efficient</v>
      </c>
      <c r="E93" s="46"/>
      <c r="F93" s="46"/>
      <c r="G93" s="46"/>
      <c r="H93" s="46"/>
    </row>
    <row r="94" customFormat="false" ht="14.25" hidden="false" customHeight="true" outlineLevel="0" collapsed="false">
      <c r="A94" s="6" t="s">
        <v>302</v>
      </c>
      <c r="B94" s="45" t="n">
        <f aca="false">'IT Experts'!H20</f>
        <v>3.8</v>
      </c>
      <c r="C94" s="45"/>
      <c r="D94" s="46" t="str">
        <f aca="false">IF('IT Experts'!H20&gt;='Scoring Rubrics'!$A$22,'Scoring Rubrics'!$C$22,IF('IT Experts'!H20&gt;='Scoring Rubrics'!$A$23,'Scoring Rubrics'!$C$23,IF('IT Experts'!H20&gt;='Scoring Rubrics'!$A$24,'Scoring Rubrics'!$C$24,IF('IT Experts'!H20&gt;='Scoring Rubrics'!$A$25,'Scoring Rubrics'!$C$25,'Scoring Rubrics'!$C$26))))</f>
        <v>Compatible</v>
      </c>
      <c r="E94" s="46"/>
      <c r="F94" s="46"/>
      <c r="G94" s="46"/>
      <c r="H94" s="46"/>
    </row>
    <row r="95" customFormat="false" ht="14.25" hidden="false" customHeight="true" outlineLevel="0" collapsed="false">
      <c r="A95" s="6" t="s">
        <v>303</v>
      </c>
      <c r="B95" s="45" t="n">
        <f aca="false">'IT Experts'!H25</f>
        <v>4.33333333333333</v>
      </c>
      <c r="C95" s="45"/>
      <c r="D95" s="46" t="str">
        <f aca="false">IF('IT Experts'!H25&gt;='Scoring Rubrics'!$A$30,'Scoring Rubrics'!$C$30,IF('IT Experts'!H25&gt;='Scoring Rubrics'!$A$31,'Scoring Rubrics'!$C$31,IF('IT Experts'!H25&gt;='Scoring Rubrics'!$A$32,'Scoring Rubrics'!$C$32,IF('IT Experts'!H25&gt;='Scoring Rubrics'!$A$33,'Scoring Rubrics'!$C$33,'Scoring Rubrics'!$C$34))))</f>
        <v>Highly Interactive</v>
      </c>
      <c r="E95" s="46"/>
      <c r="F95" s="46"/>
      <c r="G95" s="46"/>
      <c r="H95" s="46"/>
    </row>
    <row r="96" customFormat="false" ht="14.25" hidden="false" customHeight="true" outlineLevel="0" collapsed="false">
      <c r="A96" s="6" t="s">
        <v>304</v>
      </c>
      <c r="B96" s="45" t="n">
        <f aca="false">'IT Experts'!H30</f>
        <v>3.33333333333333</v>
      </c>
      <c r="C96" s="45"/>
      <c r="D96" s="46" t="str">
        <f aca="false">IF('IT Experts'!H30&gt;='Scoring Rubrics'!$A$38,'Scoring Rubrics'!$C$38,IF('IT Experts'!H30&gt;='Scoring Rubrics'!$A$39,'Scoring Rubrics'!$C$39,IF('IT Experts'!H30&gt;='Scoring Rubrics'!$A$40,'Scoring Rubrics'!$C$40,IF('IT Experts'!H30&gt;='Scoring Rubrics'!$A$41,'Scoring Rubrics'!$C$41,'Scoring Rubrics'!$C$42))))</f>
        <v>Slightly Reliable</v>
      </c>
      <c r="E96" s="46"/>
      <c r="F96" s="46"/>
      <c r="G96" s="46"/>
      <c r="H96" s="46"/>
    </row>
    <row r="97" customFormat="false" ht="14.25" hidden="false" customHeight="true" outlineLevel="0" collapsed="false">
      <c r="A97" s="6" t="s">
        <v>305</v>
      </c>
      <c r="B97" s="45" t="n">
        <f aca="false">'IT Experts'!H35</f>
        <v>2.93333333333333</v>
      </c>
      <c r="C97" s="45"/>
      <c r="D97" s="46" t="str">
        <f aca="false">IF('IT Experts'!H35&gt;='Scoring Rubrics'!$A$54,'Scoring Rubrics'!$C$54,IF('IT Experts'!H35&gt;='Scoring Rubrics'!$A$55,'Scoring Rubrics'!$C$55,IF('IT Experts'!H35&gt;='Scoring Rubrics'!$A$56,'Scoring Rubrics'!$C$56,IF('IT Experts'!H35&gt;='Scoring Rubrics'!$A$57,'Scoring Rubrics'!$C$57,'Scoring Rubrics'!$C$58))))</f>
        <v>Less Maintainable</v>
      </c>
      <c r="E97" s="46"/>
      <c r="F97" s="46"/>
      <c r="G97" s="46"/>
      <c r="H97" s="46"/>
    </row>
    <row r="98" customFormat="false" ht="14.25" hidden="false" customHeight="true" outlineLevel="0" collapsed="false">
      <c r="A98" s="6" t="s">
        <v>306</v>
      </c>
      <c r="B98" s="45" t="n">
        <f aca="false">'IT Experts'!H40</f>
        <v>3.73333333333333</v>
      </c>
      <c r="C98" s="45"/>
      <c r="D98" s="46" t="str">
        <f aca="false">IF('IT Experts'!H40&gt;='Scoring Rubrics'!$A$62,'Scoring Rubrics'!$C$62,IF('IT Experts'!H40&gt;='Scoring Rubrics'!$A$63,'Scoring Rubrics'!$C$63,IF('IT Experts'!H40&gt;='Scoring Rubrics'!$A$64,'Scoring Rubrics'!$C$64,IF('IT Experts'!H40&gt;='Scoring Rubrics'!$A$65,'Scoring Rubrics'!$C$65,'Scoring Rubrics'!$C$66))))</f>
        <v>Flexible</v>
      </c>
      <c r="E98" s="46"/>
      <c r="F98" s="46"/>
      <c r="G98" s="46"/>
      <c r="H98" s="46"/>
    </row>
    <row r="99" customFormat="false" ht="14.25" hidden="false" customHeight="true" outlineLevel="0" collapsed="false">
      <c r="A99" s="6" t="s">
        <v>307</v>
      </c>
      <c r="B99" s="45" t="n">
        <f aca="false">'IT Experts'!H45</f>
        <v>3.93333333333333</v>
      </c>
      <c r="C99" s="45"/>
      <c r="D99" s="46" t="str">
        <f aca="false">IF('IT Experts'!H45&gt;='Scoring Rubrics'!$A$70,'Scoring Rubrics'!$C$70,IF('IT Experts'!H45&gt;='Scoring Rubrics'!$A$71,'Scoring Rubrics'!$C$71,IF('IT Experts'!H45&gt;='Scoring Rubrics'!$A$72,'Scoring Rubrics'!$C$72,IF('IT Experts'!H45&gt;='Scoring Rubrics'!$A$73,'Scoring Rubrics'!$C$73,'Scoring Rubrics'!$C$74))))</f>
        <v>Safe</v>
      </c>
      <c r="E99" s="46"/>
      <c r="F99" s="46"/>
      <c r="G99" s="46"/>
      <c r="H99" s="46"/>
    </row>
    <row r="100" customFormat="false" ht="14.25" hidden="false" customHeight="true" outlineLevel="0" collapsed="false">
      <c r="A100" s="47" t="s">
        <v>308</v>
      </c>
      <c r="B100" s="42" t="n">
        <f aca="false">'IT Experts'!H47</f>
        <v>3.875</v>
      </c>
      <c r="C100" s="42"/>
      <c r="D100" s="48" t="str">
        <f aca="false">IF('IT Experts'!H47&gt;='Scoring Rubrics'!$A$86,'Scoring Rubrics'!$C$86,IF('IT Experts'!H47&gt;='Scoring Rubrics'!$A$87,'Scoring Rubrics'!$C$87,IF('IT Experts'!H47&gt;='Scoring Rubrics'!$A$88,'Scoring Rubrics'!$C$88,IF('IT Experts'!H47&gt;='Scoring Rubrics'!$A$89,'Scoring Rubrics'!$C$89,'Scoring Rubrics'!$C$90))))</f>
        <v>Suitable/Efficient</v>
      </c>
      <c r="E100" s="48"/>
      <c r="F100" s="48"/>
      <c r="G100" s="48"/>
      <c r="H100" s="48"/>
    </row>
    <row r="101" customFormat="false" ht="39.75" hidden="false" customHeight="true" outlineLevel="0" collapsed="false">
      <c r="A101" s="43" t="s">
        <v>309</v>
      </c>
      <c r="B101" s="43"/>
      <c r="C101" s="43"/>
      <c r="D101" s="43"/>
      <c r="E101" s="43"/>
      <c r="F101" s="43"/>
      <c r="G101" s="43"/>
      <c r="H101" s="43"/>
    </row>
  </sheetData>
  <mergeCells count="110">
    <mergeCell ref="A2:M2"/>
    <mergeCell ref="A3:A4"/>
    <mergeCell ref="B3:C3"/>
    <mergeCell ref="D3:E3"/>
    <mergeCell ref="F3:G3"/>
    <mergeCell ref="H3:I3"/>
    <mergeCell ref="J3:K3"/>
    <mergeCell ref="L3:L4"/>
    <mergeCell ref="M3:M4"/>
    <mergeCell ref="A8:K8"/>
    <mergeCell ref="A9:M9"/>
    <mergeCell ref="A13:M13"/>
    <mergeCell ref="A14:A15"/>
    <mergeCell ref="B14:C14"/>
    <mergeCell ref="D14:E14"/>
    <mergeCell ref="F14:G14"/>
    <mergeCell ref="H14:I14"/>
    <mergeCell ref="J14:K14"/>
    <mergeCell ref="L14:L15"/>
    <mergeCell ref="M14:M15"/>
    <mergeCell ref="A19:K19"/>
    <mergeCell ref="A20:M20"/>
    <mergeCell ref="A24:M24"/>
    <mergeCell ref="A25:A26"/>
    <mergeCell ref="B25:C25"/>
    <mergeCell ref="D25:E25"/>
    <mergeCell ref="F25:G25"/>
    <mergeCell ref="H25:I25"/>
    <mergeCell ref="J25:K25"/>
    <mergeCell ref="L25:L26"/>
    <mergeCell ref="M25:M26"/>
    <mergeCell ref="A30:K30"/>
    <mergeCell ref="A31:M31"/>
    <mergeCell ref="A35:M35"/>
    <mergeCell ref="A36:A37"/>
    <mergeCell ref="B36:C36"/>
    <mergeCell ref="D36:E36"/>
    <mergeCell ref="F36:G36"/>
    <mergeCell ref="H36:I36"/>
    <mergeCell ref="J36:K36"/>
    <mergeCell ref="L36:L37"/>
    <mergeCell ref="M36:M37"/>
    <mergeCell ref="A41:K41"/>
    <mergeCell ref="A42:M42"/>
    <mergeCell ref="A46:M46"/>
    <mergeCell ref="A47:A48"/>
    <mergeCell ref="B47:C47"/>
    <mergeCell ref="D47:E47"/>
    <mergeCell ref="F47:G47"/>
    <mergeCell ref="H47:I47"/>
    <mergeCell ref="J47:K47"/>
    <mergeCell ref="L47:L48"/>
    <mergeCell ref="M47:M48"/>
    <mergeCell ref="A52:K52"/>
    <mergeCell ref="A53:M53"/>
    <mergeCell ref="A57:M57"/>
    <mergeCell ref="A58:A59"/>
    <mergeCell ref="B58:C58"/>
    <mergeCell ref="D58:E58"/>
    <mergeCell ref="F58:G58"/>
    <mergeCell ref="H58:I58"/>
    <mergeCell ref="J58:K58"/>
    <mergeCell ref="L58:L59"/>
    <mergeCell ref="M58:M59"/>
    <mergeCell ref="A63:K63"/>
    <mergeCell ref="A64:M64"/>
    <mergeCell ref="A68:M68"/>
    <mergeCell ref="A69:A70"/>
    <mergeCell ref="B69:C69"/>
    <mergeCell ref="D69:E69"/>
    <mergeCell ref="F69:G69"/>
    <mergeCell ref="H69:I69"/>
    <mergeCell ref="J69:K69"/>
    <mergeCell ref="L69:L70"/>
    <mergeCell ref="M69:M70"/>
    <mergeCell ref="A74:K74"/>
    <mergeCell ref="A75:M75"/>
    <mergeCell ref="A79:M79"/>
    <mergeCell ref="A80:A81"/>
    <mergeCell ref="B80:C80"/>
    <mergeCell ref="D80:E80"/>
    <mergeCell ref="F80:G80"/>
    <mergeCell ref="H80:I80"/>
    <mergeCell ref="J80:K80"/>
    <mergeCell ref="L80:L81"/>
    <mergeCell ref="M80:M81"/>
    <mergeCell ref="A85:K85"/>
    <mergeCell ref="A86:M86"/>
    <mergeCell ref="A90:H90"/>
    <mergeCell ref="B91:C91"/>
    <mergeCell ref="D91:H91"/>
    <mergeCell ref="B92:C92"/>
    <mergeCell ref="D92:H92"/>
    <mergeCell ref="B93:C93"/>
    <mergeCell ref="D93:H93"/>
    <mergeCell ref="B94:C94"/>
    <mergeCell ref="D94:H94"/>
    <mergeCell ref="B95:C95"/>
    <mergeCell ref="D95:H95"/>
    <mergeCell ref="B96:C96"/>
    <mergeCell ref="D96:H96"/>
    <mergeCell ref="B97:C97"/>
    <mergeCell ref="D97:H97"/>
    <mergeCell ref="B98:C98"/>
    <mergeCell ref="D98:H98"/>
    <mergeCell ref="B99:C99"/>
    <mergeCell ref="D99:H99"/>
    <mergeCell ref="B100:C100"/>
    <mergeCell ref="D100:H100"/>
    <mergeCell ref="A101:H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" activeCellId="0" sqref="O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5"/>
    <col collapsed="false" customWidth="true" hidden="false" outlineLevel="0" max="11" min="2" style="1" width="6.54"/>
    <col collapsed="false" customWidth="true" hidden="false" outlineLevel="0" max="12" min="12" style="1" width="8"/>
    <col collapsed="false" customWidth="true" hidden="false" outlineLevel="0" max="13" min="13" style="1" width="22"/>
  </cols>
  <sheetData>
    <row r="1" customFormat="false" ht="14.25" hidden="false" customHeight="true" outlineLevel="0" collapsed="false">
      <c r="A1" s="2" t="s">
        <v>310</v>
      </c>
    </row>
    <row r="2" customFormat="false" ht="26.25" hidden="false" customHeight="true" outlineLevel="0" collapsed="false">
      <c r="A2" s="36" t="s">
        <v>311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O2" s="49" t="s">
        <v>312</v>
      </c>
    </row>
    <row r="3" customFormat="false" ht="39.75" hidden="false" customHeight="true" outlineLevel="0" collapsed="false">
      <c r="A3" s="37" t="s">
        <v>168</v>
      </c>
      <c r="B3" s="5" t="s">
        <v>313</v>
      </c>
      <c r="C3" s="5"/>
      <c r="D3" s="5" t="s">
        <v>314</v>
      </c>
      <c r="E3" s="5"/>
      <c r="F3" s="5" t="s">
        <v>315</v>
      </c>
      <c r="G3" s="5"/>
      <c r="H3" s="5" t="s">
        <v>316</v>
      </c>
      <c r="I3" s="5"/>
      <c r="J3" s="5" t="s">
        <v>317</v>
      </c>
      <c r="K3" s="5"/>
      <c r="L3" s="37" t="s">
        <v>174</v>
      </c>
      <c r="M3" s="37" t="s">
        <v>18</v>
      </c>
      <c r="O3" s="50" t="s">
        <v>318</v>
      </c>
    </row>
    <row r="4" customFormat="false" ht="14.25" hidden="false" customHeight="true" outlineLevel="0" collapsed="false">
      <c r="A4" s="37"/>
      <c r="B4" s="38" t="s">
        <v>272</v>
      </c>
      <c r="C4" s="38" t="s">
        <v>273</v>
      </c>
      <c r="D4" s="38" t="s">
        <v>272</v>
      </c>
      <c r="E4" s="38" t="s">
        <v>273</v>
      </c>
      <c r="F4" s="38" t="s">
        <v>272</v>
      </c>
      <c r="G4" s="38" t="s">
        <v>273</v>
      </c>
      <c r="H4" s="38" t="s">
        <v>272</v>
      </c>
      <c r="I4" s="38" t="s">
        <v>273</v>
      </c>
      <c r="J4" s="38" t="s">
        <v>272</v>
      </c>
      <c r="K4" s="38" t="s">
        <v>273</v>
      </c>
      <c r="L4" s="37"/>
      <c r="M4" s="37"/>
      <c r="O4" s="50"/>
    </row>
    <row r="5" customFormat="false" ht="38.25" hidden="false" customHeight="true" outlineLevel="0" collapsed="false">
      <c r="A5" s="6" t="s">
        <v>254</v>
      </c>
      <c r="B5" s="7" t="n">
        <f aca="false">'End-Users'!AH7</f>
        <v>17</v>
      </c>
      <c r="C5" s="39" t="n">
        <f aca="false">'End-Users'!AH7/COUNT('End-Users'!$C7:$AF7)</f>
        <v>0.566666666666667</v>
      </c>
      <c r="D5" s="7" t="n">
        <f aca="false">'End-Users'!AI7</f>
        <v>7</v>
      </c>
      <c r="E5" s="39" t="n">
        <f aca="false">'End-Users'!AI7/COUNT('End-Users'!$C7:$AF7)</f>
        <v>0.233333333333333</v>
      </c>
      <c r="F5" s="7" t="n">
        <f aca="false">'End-Users'!AJ7</f>
        <v>6</v>
      </c>
      <c r="G5" s="39" t="n">
        <f aca="false">'End-Users'!AJ7/COUNT('End-Users'!$C7:$AF7)</f>
        <v>0.2</v>
      </c>
      <c r="H5" s="7" t="n">
        <f aca="false">'End-Users'!AK7</f>
        <v>0</v>
      </c>
      <c r="I5" s="39" t="n">
        <f aca="false">'End-Users'!AK7/COUNT('End-Users'!$C7:$AF7)</f>
        <v>0</v>
      </c>
      <c r="J5" s="7" t="n">
        <f aca="false">'End-Users'!AL7</f>
        <v>0</v>
      </c>
      <c r="K5" s="39" t="n">
        <f aca="false">'End-Users'!AL7/COUNT('End-Users'!$C7:$AF7)</f>
        <v>0</v>
      </c>
      <c r="L5" s="40" t="n">
        <f aca="false">'End-Users'!AG7</f>
        <v>4.36666666666667</v>
      </c>
      <c r="M5" s="7" t="str">
        <f aca="false">IF('End-Users'!AG7&gt;='Scoring Rubrics'!$A$6,'Scoring Rubrics'!$C$6,IF('End-Users'!AG7&gt;='Scoring Rubrics'!$A$7,'Scoring Rubrics'!$C$7,IF('End-Users'!AG7&gt;='Scoring Rubrics'!$A$8,'Scoring Rubrics'!$C$8,IF('End-Users'!AG7&gt;='Scoring Rubrics'!$A$9,'Scoring Rubrics'!$C$9,'Scoring Rubrics'!$C$10))))</f>
        <v>Highly Suitable</v>
      </c>
      <c r="O5" s="50"/>
    </row>
    <row r="6" customFormat="false" ht="38.25" hidden="false" customHeight="true" outlineLevel="0" collapsed="false">
      <c r="A6" s="6" t="s">
        <v>255</v>
      </c>
      <c r="B6" s="7" t="n">
        <f aca="false">'End-Users'!AH8</f>
        <v>23</v>
      </c>
      <c r="C6" s="39" t="n">
        <f aca="false">'End-Users'!AH8/COUNT('End-Users'!$C8:$AF8)</f>
        <v>0.766666666666667</v>
      </c>
      <c r="D6" s="7" t="n">
        <f aca="false">'End-Users'!AI8</f>
        <v>6</v>
      </c>
      <c r="E6" s="39" t="n">
        <f aca="false">'End-Users'!AI8/COUNT('End-Users'!$C8:$AF8)</f>
        <v>0.2</v>
      </c>
      <c r="F6" s="7" t="n">
        <f aca="false">'End-Users'!AJ8</f>
        <v>1</v>
      </c>
      <c r="G6" s="39" t="n">
        <f aca="false">'End-Users'!AJ8/COUNT('End-Users'!$C8:$AF8)</f>
        <v>0.0333333333333333</v>
      </c>
      <c r="H6" s="7" t="n">
        <f aca="false">'End-Users'!AK8</f>
        <v>0</v>
      </c>
      <c r="I6" s="39" t="n">
        <f aca="false">'End-Users'!AK8/COUNT('End-Users'!$C8:$AF8)</f>
        <v>0</v>
      </c>
      <c r="J6" s="7" t="n">
        <f aca="false">'End-Users'!AL8</f>
        <v>0</v>
      </c>
      <c r="K6" s="39" t="n">
        <f aca="false">'End-Users'!AL8/COUNT('End-Users'!$C8:$AF8)</f>
        <v>0</v>
      </c>
      <c r="L6" s="40" t="n">
        <f aca="false">'End-Users'!AG8</f>
        <v>4.73333333333333</v>
      </c>
      <c r="M6" s="7" t="str">
        <f aca="false">IF('End-Users'!AG8&gt;='Scoring Rubrics'!$A$6,'Scoring Rubrics'!$C$6,IF('End-Users'!AG8&gt;='Scoring Rubrics'!$A$7,'Scoring Rubrics'!$C$7,IF('End-Users'!AG8&gt;='Scoring Rubrics'!$A$8,'Scoring Rubrics'!$C$8,IF('End-Users'!AG8&gt;='Scoring Rubrics'!$A$9,'Scoring Rubrics'!$C$9,'Scoring Rubrics'!$C$10))))</f>
        <v>Highly Suitable</v>
      </c>
      <c r="O6" s="50"/>
    </row>
    <row r="7" customFormat="false" ht="38.25" hidden="false" customHeight="true" outlineLevel="0" collapsed="false">
      <c r="A7" s="6" t="s">
        <v>256</v>
      </c>
      <c r="B7" s="7" t="n">
        <f aca="false">'End-Users'!AH9</f>
        <v>21</v>
      </c>
      <c r="C7" s="39" t="n">
        <f aca="false">'End-Users'!AH9/COUNT('End-Users'!$C9:$AF9)</f>
        <v>0.7</v>
      </c>
      <c r="D7" s="7" t="n">
        <f aca="false">'End-Users'!AI9</f>
        <v>7</v>
      </c>
      <c r="E7" s="39" t="n">
        <f aca="false">'End-Users'!AI9/COUNT('End-Users'!$C9:$AF9)</f>
        <v>0.233333333333333</v>
      </c>
      <c r="F7" s="7" t="n">
        <f aca="false">'End-Users'!AJ9</f>
        <v>2</v>
      </c>
      <c r="G7" s="39" t="n">
        <f aca="false">'End-Users'!AJ9/COUNT('End-Users'!$C9:$AF9)</f>
        <v>0.0666666666666667</v>
      </c>
      <c r="H7" s="7" t="n">
        <f aca="false">'End-Users'!AK9</f>
        <v>0</v>
      </c>
      <c r="I7" s="39" t="n">
        <f aca="false">'End-Users'!AK9/COUNT('End-Users'!$C9:$AF9)</f>
        <v>0</v>
      </c>
      <c r="J7" s="7" t="n">
        <f aca="false">'End-Users'!AL9</f>
        <v>0</v>
      </c>
      <c r="K7" s="39" t="n">
        <f aca="false">'End-Users'!AL9/COUNT('End-Users'!$C9:$AF9)</f>
        <v>0</v>
      </c>
      <c r="L7" s="40" t="n">
        <f aca="false">'End-Users'!AG9</f>
        <v>4.63333333333333</v>
      </c>
      <c r="M7" s="7" t="str">
        <f aca="false">IF('End-Users'!AG9&gt;='Scoring Rubrics'!$A$6,'Scoring Rubrics'!$C$6,IF('End-Users'!AG9&gt;='Scoring Rubrics'!$A$7,'Scoring Rubrics'!$C$7,IF('End-Users'!AG9&gt;='Scoring Rubrics'!$A$8,'Scoring Rubrics'!$C$8,IF('End-Users'!AG9&gt;='Scoring Rubrics'!$A$9,'Scoring Rubrics'!$C$9,'Scoring Rubrics'!$C$10))))</f>
        <v>Highly Suitable</v>
      </c>
      <c r="O7" s="50"/>
    </row>
    <row r="8" customFormat="false" ht="14.25" hidden="false" customHeight="true" outlineLevel="0" collapsed="false">
      <c r="A8" s="41" t="s">
        <v>274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 t="n">
        <f aca="false">'End-Users'!AG10</f>
        <v>4.57777777777778</v>
      </c>
      <c r="M8" s="38" t="str">
        <f aca="false">IF('End-Users'!AG10&gt;='Scoring Rubrics'!$A$6,'Scoring Rubrics'!$C$6,IF('End-Users'!AG10&gt;='Scoring Rubrics'!$A$7,'Scoring Rubrics'!$C$7,IF('End-Users'!AG10&gt;='Scoring Rubrics'!$A$8,'Scoring Rubrics'!$C$8,IF('End-Users'!AG10&gt;='Scoring Rubrics'!$A$9,'Scoring Rubrics'!$C$9,'Scoring Rubrics'!$C$10))))</f>
        <v>Highly Suitable</v>
      </c>
      <c r="O8" s="50"/>
    </row>
    <row r="9" customFormat="false" ht="37.5" hidden="false" customHeight="true" outlineLevel="0" collapsed="false">
      <c r="A9" s="43" t="s">
        <v>319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</row>
    <row r="12" customFormat="false" ht="14.25" hidden="false" customHeight="true" outlineLevel="0" collapsed="false">
      <c r="A12" s="2" t="s">
        <v>320</v>
      </c>
    </row>
    <row r="13" customFormat="false" ht="26.25" hidden="false" customHeight="true" outlineLevel="0" collapsed="false">
      <c r="A13" s="36" t="s">
        <v>321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customFormat="false" ht="39.75" hidden="false" customHeight="true" outlineLevel="0" collapsed="false">
      <c r="A14" s="37" t="s">
        <v>168</v>
      </c>
      <c r="B14" s="5" t="s">
        <v>313</v>
      </c>
      <c r="C14" s="5"/>
      <c r="D14" s="5" t="s">
        <v>314</v>
      </c>
      <c r="E14" s="5"/>
      <c r="F14" s="5" t="s">
        <v>315</v>
      </c>
      <c r="G14" s="5"/>
      <c r="H14" s="5" t="s">
        <v>316</v>
      </c>
      <c r="I14" s="5"/>
      <c r="J14" s="5" t="s">
        <v>317</v>
      </c>
      <c r="K14" s="5"/>
      <c r="L14" s="37" t="s">
        <v>174</v>
      </c>
      <c r="M14" s="37" t="s">
        <v>18</v>
      </c>
    </row>
    <row r="15" customFormat="false" ht="14.25" hidden="false" customHeight="true" outlineLevel="0" collapsed="false">
      <c r="A15" s="37"/>
      <c r="B15" s="38" t="s">
        <v>272</v>
      </c>
      <c r="C15" s="38" t="s">
        <v>273</v>
      </c>
      <c r="D15" s="38" t="s">
        <v>272</v>
      </c>
      <c r="E15" s="38" t="s">
        <v>273</v>
      </c>
      <c r="F15" s="38" t="s">
        <v>272</v>
      </c>
      <c r="G15" s="38" t="s">
        <v>273</v>
      </c>
      <c r="H15" s="38" t="s">
        <v>272</v>
      </c>
      <c r="I15" s="38" t="s">
        <v>273</v>
      </c>
      <c r="J15" s="38" t="s">
        <v>272</v>
      </c>
      <c r="K15" s="38" t="s">
        <v>273</v>
      </c>
      <c r="L15" s="37"/>
      <c r="M15" s="37"/>
    </row>
    <row r="16" customFormat="false" ht="38.25" hidden="false" customHeight="true" outlineLevel="0" collapsed="false">
      <c r="A16" s="6" t="s">
        <v>257</v>
      </c>
      <c r="B16" s="7" t="n">
        <f aca="false">'End-Users'!AH12</f>
        <v>24</v>
      </c>
      <c r="C16" s="39" t="n">
        <f aca="false">'End-Users'!AH12/COUNT('End-Users'!$C12:$AF12)</f>
        <v>0.8</v>
      </c>
      <c r="D16" s="7" t="n">
        <f aca="false">'End-Users'!AI12</f>
        <v>3</v>
      </c>
      <c r="E16" s="39" t="n">
        <f aca="false">'End-Users'!AI12/COUNT('End-Users'!$C12:$AF12)</f>
        <v>0.1</v>
      </c>
      <c r="F16" s="7" t="n">
        <f aca="false">'End-Users'!AJ12</f>
        <v>3</v>
      </c>
      <c r="G16" s="39" t="n">
        <f aca="false">'End-Users'!AJ12/COUNT('End-Users'!$C12:$AF12)</f>
        <v>0.1</v>
      </c>
      <c r="H16" s="7" t="n">
        <f aca="false">'End-Users'!AK12</f>
        <v>0</v>
      </c>
      <c r="I16" s="39" t="n">
        <f aca="false">'End-Users'!AK12/COUNT('End-Users'!$C12:$AF12)</f>
        <v>0</v>
      </c>
      <c r="J16" s="7" t="n">
        <f aca="false">'End-Users'!AL12</f>
        <v>0</v>
      </c>
      <c r="K16" s="39" t="n">
        <f aca="false">'End-Users'!AL12/COUNT('End-Users'!$C12:$AF12)</f>
        <v>0</v>
      </c>
      <c r="L16" s="40" t="n">
        <f aca="false">'End-Users'!AG12</f>
        <v>4.7</v>
      </c>
      <c r="M16" s="7" t="str">
        <f aca="false">IF('End-Users'!AG12&gt;='Scoring Rubrics'!$A$14,'Scoring Rubrics'!$C$14,IF('End-Users'!AG12&gt;='Scoring Rubrics'!$A$15,'Scoring Rubrics'!$C$15,IF('End-Users'!AG12&gt;='Scoring Rubrics'!$A$16,'Scoring Rubrics'!$C$16,IF('End-Users'!AG12&gt;='Scoring Rubrics'!$A$17,'Scoring Rubrics'!$C$17,'Scoring Rubrics'!$C$18))))</f>
        <v>Highly Efficient</v>
      </c>
    </row>
    <row r="17" customFormat="false" ht="38.25" hidden="false" customHeight="true" outlineLevel="0" collapsed="false">
      <c r="A17" s="6" t="s">
        <v>258</v>
      </c>
      <c r="B17" s="7" t="n">
        <f aca="false">'End-Users'!AH13</f>
        <v>24</v>
      </c>
      <c r="C17" s="39" t="n">
        <f aca="false">'End-Users'!AH13/COUNT('End-Users'!$C13:$AF13)</f>
        <v>0.8</v>
      </c>
      <c r="D17" s="7" t="n">
        <f aca="false">'End-Users'!AI13</f>
        <v>6</v>
      </c>
      <c r="E17" s="39" t="n">
        <f aca="false">'End-Users'!AI13/COUNT('End-Users'!$C13:$AF13)</f>
        <v>0.2</v>
      </c>
      <c r="F17" s="7" t="n">
        <f aca="false">'End-Users'!AJ13</f>
        <v>0</v>
      </c>
      <c r="G17" s="39" t="n">
        <f aca="false">'End-Users'!AJ13/COUNT('End-Users'!$C13:$AF13)</f>
        <v>0</v>
      </c>
      <c r="H17" s="7" t="n">
        <f aca="false">'End-Users'!AK13</f>
        <v>0</v>
      </c>
      <c r="I17" s="39" t="n">
        <f aca="false">'End-Users'!AK13/COUNT('End-Users'!$C13:$AF13)</f>
        <v>0</v>
      </c>
      <c r="J17" s="7" t="n">
        <f aca="false">'End-Users'!AL13</f>
        <v>0</v>
      </c>
      <c r="K17" s="39" t="n">
        <f aca="false">'End-Users'!AL13/COUNT('End-Users'!$C13:$AF13)</f>
        <v>0</v>
      </c>
      <c r="L17" s="40" t="n">
        <f aca="false">'End-Users'!AG13</f>
        <v>4.8</v>
      </c>
      <c r="M17" s="7" t="str">
        <f aca="false">IF('End-Users'!AG13&gt;='Scoring Rubrics'!$A$14,'Scoring Rubrics'!$C$14,IF('End-Users'!AG13&gt;='Scoring Rubrics'!$A$15,'Scoring Rubrics'!$C$15,IF('End-Users'!AG13&gt;='Scoring Rubrics'!$A$16,'Scoring Rubrics'!$C$16,IF('End-Users'!AG13&gt;='Scoring Rubrics'!$A$17,'Scoring Rubrics'!$C$17,'Scoring Rubrics'!$C$18))))</f>
        <v>Highly Efficient</v>
      </c>
    </row>
    <row r="18" customFormat="false" ht="38.25" hidden="false" customHeight="true" outlineLevel="0" collapsed="false">
      <c r="A18" s="6" t="s">
        <v>259</v>
      </c>
      <c r="B18" s="7" t="n">
        <f aca="false">'End-Users'!AH14</f>
        <v>24</v>
      </c>
      <c r="C18" s="39" t="n">
        <f aca="false">'End-Users'!AH14/COUNT('End-Users'!$C14:$AF14)</f>
        <v>0.8</v>
      </c>
      <c r="D18" s="7" t="n">
        <f aca="false">'End-Users'!AI14</f>
        <v>2</v>
      </c>
      <c r="E18" s="39" t="n">
        <f aca="false">'End-Users'!AI14/COUNT('End-Users'!$C14:$AF14)</f>
        <v>0.0666666666666667</v>
      </c>
      <c r="F18" s="7" t="n">
        <f aca="false">'End-Users'!AJ14</f>
        <v>4</v>
      </c>
      <c r="G18" s="39" t="n">
        <f aca="false">'End-Users'!AJ14/COUNT('End-Users'!$C14:$AF14)</f>
        <v>0.133333333333333</v>
      </c>
      <c r="H18" s="7" t="n">
        <f aca="false">'End-Users'!AK14</f>
        <v>0</v>
      </c>
      <c r="I18" s="39" t="n">
        <f aca="false">'End-Users'!AK14/COUNT('End-Users'!$C14:$AF14)</f>
        <v>0</v>
      </c>
      <c r="J18" s="7" t="n">
        <f aca="false">'End-Users'!AL14</f>
        <v>0</v>
      </c>
      <c r="K18" s="39" t="n">
        <f aca="false">'End-Users'!AL14/COUNT('End-Users'!$C14:$AF14)</f>
        <v>0</v>
      </c>
      <c r="L18" s="40" t="n">
        <f aca="false">'End-Users'!AG14</f>
        <v>4.66666666666667</v>
      </c>
      <c r="M18" s="7" t="str">
        <f aca="false">IF('End-Users'!AG14&gt;='Scoring Rubrics'!$A$14,'Scoring Rubrics'!$C$14,IF('End-Users'!AG14&gt;='Scoring Rubrics'!$A$15,'Scoring Rubrics'!$C$15,IF('End-Users'!AG14&gt;='Scoring Rubrics'!$A$16,'Scoring Rubrics'!$C$16,IF('End-Users'!AG14&gt;='Scoring Rubrics'!$A$17,'Scoring Rubrics'!$C$17,'Scoring Rubrics'!$C$18))))</f>
        <v>Highly Efficient</v>
      </c>
    </row>
    <row r="19" customFormat="false" ht="14.25" hidden="false" customHeight="true" outlineLevel="0" collapsed="false">
      <c r="A19" s="41" t="s">
        <v>274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2" t="n">
        <f aca="false">'End-Users'!AG15</f>
        <v>4.72222222222222</v>
      </c>
      <c r="M19" s="38" t="str">
        <f aca="false">IF('End-Users'!AG15&gt;='Scoring Rubrics'!$A$14,'Scoring Rubrics'!$C$14,IF('End-Users'!AG15&gt;='Scoring Rubrics'!$A$15,'Scoring Rubrics'!$C$15,IF('End-Users'!AG15&gt;='Scoring Rubrics'!$A$16,'Scoring Rubrics'!$C$16,IF('End-Users'!AG15&gt;='Scoring Rubrics'!$A$17,'Scoring Rubrics'!$C$17,'Scoring Rubrics'!$C$18))))</f>
        <v>Highly Efficient</v>
      </c>
    </row>
    <row r="20" customFormat="false" ht="37.5" hidden="false" customHeight="true" outlineLevel="0" collapsed="false">
      <c r="A20" s="43" t="s">
        <v>322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3" customFormat="false" ht="14.25" hidden="false" customHeight="true" outlineLevel="0" collapsed="false">
      <c r="A23" s="2" t="s">
        <v>323</v>
      </c>
    </row>
    <row r="24" customFormat="false" ht="26.25" hidden="false" customHeight="true" outlineLevel="0" collapsed="false">
      <c r="A24" s="36" t="s">
        <v>324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customFormat="false" ht="39.75" hidden="false" customHeight="true" outlineLevel="0" collapsed="false">
      <c r="A25" s="37" t="s">
        <v>168</v>
      </c>
      <c r="B25" s="5" t="s">
        <v>313</v>
      </c>
      <c r="C25" s="5"/>
      <c r="D25" s="5" t="s">
        <v>314</v>
      </c>
      <c r="E25" s="5"/>
      <c r="F25" s="5" t="s">
        <v>315</v>
      </c>
      <c r="G25" s="5"/>
      <c r="H25" s="5" t="s">
        <v>316</v>
      </c>
      <c r="I25" s="5"/>
      <c r="J25" s="5" t="s">
        <v>317</v>
      </c>
      <c r="K25" s="5"/>
      <c r="L25" s="37" t="s">
        <v>174</v>
      </c>
      <c r="M25" s="37" t="s">
        <v>18</v>
      </c>
    </row>
    <row r="26" customFormat="false" ht="14.25" hidden="false" customHeight="true" outlineLevel="0" collapsed="false">
      <c r="A26" s="37"/>
      <c r="B26" s="38" t="s">
        <v>272</v>
      </c>
      <c r="C26" s="38" t="s">
        <v>273</v>
      </c>
      <c r="D26" s="38" t="s">
        <v>272</v>
      </c>
      <c r="E26" s="38" t="s">
        <v>273</v>
      </c>
      <c r="F26" s="38" t="s">
        <v>272</v>
      </c>
      <c r="G26" s="38" t="s">
        <v>273</v>
      </c>
      <c r="H26" s="38" t="s">
        <v>272</v>
      </c>
      <c r="I26" s="38" t="s">
        <v>273</v>
      </c>
      <c r="J26" s="38" t="s">
        <v>272</v>
      </c>
      <c r="K26" s="38" t="s">
        <v>273</v>
      </c>
      <c r="L26" s="37"/>
      <c r="M26" s="37"/>
    </row>
    <row r="27" customFormat="false" ht="38.25" hidden="false" customHeight="true" outlineLevel="0" collapsed="false">
      <c r="A27" s="6" t="s">
        <v>260</v>
      </c>
      <c r="B27" s="7" t="n">
        <f aca="false">'End-Users'!AH17</f>
        <v>21</v>
      </c>
      <c r="C27" s="39" t="n">
        <f aca="false">'End-Users'!AH17/COUNT('End-Users'!$C17:$AF17)</f>
        <v>0.7</v>
      </c>
      <c r="D27" s="7" t="n">
        <f aca="false">'End-Users'!AI17</f>
        <v>5</v>
      </c>
      <c r="E27" s="39" t="n">
        <f aca="false">'End-Users'!AI17/COUNT('End-Users'!$C17:$AF17)</f>
        <v>0.166666666666667</v>
      </c>
      <c r="F27" s="7" t="n">
        <f aca="false">'End-Users'!AJ17</f>
        <v>3</v>
      </c>
      <c r="G27" s="39" t="n">
        <f aca="false">'End-Users'!AJ17/COUNT('End-Users'!$C17:$AF17)</f>
        <v>0.1</v>
      </c>
      <c r="H27" s="7" t="n">
        <f aca="false">'End-Users'!AK17</f>
        <v>1</v>
      </c>
      <c r="I27" s="39" t="n">
        <f aca="false">'End-Users'!AK17/COUNT('End-Users'!$C17:$AF17)</f>
        <v>0.0333333333333333</v>
      </c>
      <c r="J27" s="7" t="n">
        <f aca="false">'End-Users'!AL17</f>
        <v>0</v>
      </c>
      <c r="K27" s="39" t="n">
        <f aca="false">'End-Users'!AL17/COUNT('End-Users'!$C17:$AF17)</f>
        <v>0</v>
      </c>
      <c r="L27" s="40" t="n">
        <f aca="false">'End-Users'!AG17</f>
        <v>4.53333333333333</v>
      </c>
      <c r="M27" s="7" t="str">
        <f aca="false">IF('End-Users'!AG17&gt;='Scoring Rubrics'!$A$30,'Scoring Rubrics'!$C$30,IF('End-Users'!AG17&gt;='Scoring Rubrics'!$A$31,'Scoring Rubrics'!$C$31,IF('End-Users'!AG17&gt;='Scoring Rubrics'!$A$32,'Scoring Rubrics'!$C$32,IF('End-Users'!AG17&gt;='Scoring Rubrics'!$A$33,'Scoring Rubrics'!$C$33,'Scoring Rubrics'!$C$34))))</f>
        <v>Highly Interactive</v>
      </c>
    </row>
    <row r="28" customFormat="false" ht="51" hidden="false" customHeight="true" outlineLevel="0" collapsed="false">
      <c r="A28" s="6" t="s">
        <v>261</v>
      </c>
      <c r="B28" s="7" t="n">
        <f aca="false">'End-Users'!AH18</f>
        <v>22</v>
      </c>
      <c r="C28" s="39" t="n">
        <f aca="false">'End-Users'!AH18/COUNT('End-Users'!$C18:$AF18)</f>
        <v>0.733333333333333</v>
      </c>
      <c r="D28" s="7" t="n">
        <f aca="false">'End-Users'!AI18</f>
        <v>6</v>
      </c>
      <c r="E28" s="39" t="n">
        <f aca="false">'End-Users'!AI18/COUNT('End-Users'!$C18:$AF18)</f>
        <v>0.2</v>
      </c>
      <c r="F28" s="7" t="n">
        <f aca="false">'End-Users'!AJ18</f>
        <v>2</v>
      </c>
      <c r="G28" s="39" t="n">
        <f aca="false">'End-Users'!AJ18/COUNT('End-Users'!$C18:$AF18)</f>
        <v>0.0666666666666667</v>
      </c>
      <c r="H28" s="7" t="n">
        <f aca="false">'End-Users'!AK18</f>
        <v>0</v>
      </c>
      <c r="I28" s="39" t="n">
        <f aca="false">'End-Users'!AK18/COUNT('End-Users'!$C18:$AF18)</f>
        <v>0</v>
      </c>
      <c r="J28" s="7" t="n">
        <f aca="false">'End-Users'!AL18</f>
        <v>0</v>
      </c>
      <c r="K28" s="39" t="n">
        <f aca="false">'End-Users'!AL18/COUNT('End-Users'!$C18:$AF18)</f>
        <v>0</v>
      </c>
      <c r="L28" s="40" t="n">
        <f aca="false">'End-Users'!AG18</f>
        <v>4.66666666666667</v>
      </c>
      <c r="M28" s="7" t="str">
        <f aca="false">IF('End-Users'!AG18&gt;='Scoring Rubrics'!$A$30,'Scoring Rubrics'!$C$30,IF('End-Users'!AG18&gt;='Scoring Rubrics'!$A$31,'Scoring Rubrics'!$C$31,IF('End-Users'!AG18&gt;='Scoring Rubrics'!$A$32,'Scoring Rubrics'!$C$32,IF('End-Users'!AG18&gt;='Scoring Rubrics'!$A$33,'Scoring Rubrics'!$C$33,'Scoring Rubrics'!$C$34))))</f>
        <v>Highly Interactive</v>
      </c>
    </row>
    <row r="29" customFormat="false" ht="38.25" hidden="false" customHeight="true" outlineLevel="0" collapsed="false">
      <c r="A29" s="6" t="s">
        <v>262</v>
      </c>
      <c r="B29" s="7" t="n">
        <f aca="false">'End-Users'!AH19</f>
        <v>6</v>
      </c>
      <c r="C29" s="39" t="n">
        <f aca="false">'End-Users'!AH19/COUNT('End-Users'!$C19:$AF19)</f>
        <v>0.2</v>
      </c>
      <c r="D29" s="7" t="n">
        <f aca="false">'End-Users'!AI19</f>
        <v>9</v>
      </c>
      <c r="E29" s="39" t="n">
        <f aca="false">'End-Users'!AI19/COUNT('End-Users'!$C19:$AF19)</f>
        <v>0.3</v>
      </c>
      <c r="F29" s="7" t="n">
        <f aca="false">'End-Users'!AJ19</f>
        <v>6</v>
      </c>
      <c r="G29" s="39" t="n">
        <f aca="false">'End-Users'!AJ19/COUNT('End-Users'!$C19:$AF19)</f>
        <v>0.2</v>
      </c>
      <c r="H29" s="7" t="n">
        <f aca="false">'End-Users'!AK19</f>
        <v>4</v>
      </c>
      <c r="I29" s="39" t="n">
        <f aca="false">'End-Users'!AK19/COUNT('End-Users'!$C19:$AF19)</f>
        <v>0.133333333333333</v>
      </c>
      <c r="J29" s="7" t="n">
        <f aca="false">'End-Users'!AL19</f>
        <v>5</v>
      </c>
      <c r="K29" s="39" t="n">
        <f aca="false">'End-Users'!AL19/COUNT('End-Users'!$C19:$AF19)</f>
        <v>0.166666666666667</v>
      </c>
      <c r="L29" s="40" t="n">
        <f aca="false">'End-Users'!AG19</f>
        <v>3.23333333333333</v>
      </c>
      <c r="M29" s="7" t="str">
        <f aca="false">IF('End-Users'!AG19&gt;='Scoring Rubrics'!$A$30,'Scoring Rubrics'!$C$30,IF('End-Users'!AG19&gt;='Scoring Rubrics'!$A$31,'Scoring Rubrics'!$C$31,IF('End-Users'!AG19&gt;='Scoring Rubrics'!$A$32,'Scoring Rubrics'!$C$32,IF('End-Users'!AG19&gt;='Scoring Rubrics'!$A$33,'Scoring Rubrics'!$C$33,'Scoring Rubrics'!$C$34))))</f>
        <v>Less Interactive</v>
      </c>
    </row>
    <row r="30" customFormat="false" ht="14.25" hidden="false" customHeight="true" outlineLevel="0" collapsed="false">
      <c r="A30" s="41" t="s">
        <v>274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2" t="n">
        <f aca="false">'End-Users'!AG20</f>
        <v>4.14444444444445</v>
      </c>
      <c r="M30" s="38" t="str">
        <f aca="false">IF('End-Users'!AG20&gt;='Scoring Rubrics'!$A$30,'Scoring Rubrics'!$C$30,IF('End-Users'!AG20&gt;='Scoring Rubrics'!$A$31,'Scoring Rubrics'!$C$31,IF('End-Users'!AG20&gt;='Scoring Rubrics'!$A$32,'Scoring Rubrics'!$C$32,IF('End-Users'!AG20&gt;='Scoring Rubrics'!$A$33,'Scoring Rubrics'!$C$33,'Scoring Rubrics'!$C$34))))</f>
        <v>Interactive</v>
      </c>
    </row>
    <row r="31" customFormat="false" ht="37.5" hidden="false" customHeight="true" outlineLevel="0" collapsed="false">
      <c r="A31" s="43" t="s">
        <v>325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4" customFormat="false" ht="14.25" hidden="false" customHeight="true" outlineLevel="0" collapsed="false">
      <c r="A34" s="2" t="s">
        <v>326</v>
      </c>
    </row>
    <row r="35" customFormat="false" ht="26.25" hidden="false" customHeight="true" outlineLevel="0" collapsed="false">
      <c r="A35" s="36" t="s">
        <v>327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customFormat="false" ht="39.75" hidden="false" customHeight="true" outlineLevel="0" collapsed="false">
      <c r="A36" s="37" t="s">
        <v>168</v>
      </c>
      <c r="B36" s="5" t="s">
        <v>313</v>
      </c>
      <c r="C36" s="5"/>
      <c r="D36" s="5" t="s">
        <v>314</v>
      </c>
      <c r="E36" s="5"/>
      <c r="F36" s="5" t="s">
        <v>315</v>
      </c>
      <c r="G36" s="5"/>
      <c r="H36" s="5" t="s">
        <v>316</v>
      </c>
      <c r="I36" s="5"/>
      <c r="J36" s="5" t="s">
        <v>317</v>
      </c>
      <c r="K36" s="5"/>
      <c r="L36" s="37" t="s">
        <v>174</v>
      </c>
      <c r="M36" s="37" t="s">
        <v>18</v>
      </c>
    </row>
    <row r="37" customFormat="false" ht="14.25" hidden="false" customHeight="true" outlineLevel="0" collapsed="false">
      <c r="A37" s="37"/>
      <c r="B37" s="38" t="s">
        <v>272</v>
      </c>
      <c r="C37" s="38" t="s">
        <v>273</v>
      </c>
      <c r="D37" s="38" t="s">
        <v>272</v>
      </c>
      <c r="E37" s="38" t="s">
        <v>273</v>
      </c>
      <c r="F37" s="38" t="s">
        <v>272</v>
      </c>
      <c r="G37" s="38" t="s">
        <v>273</v>
      </c>
      <c r="H37" s="38" t="s">
        <v>272</v>
      </c>
      <c r="I37" s="38" t="s">
        <v>273</v>
      </c>
      <c r="J37" s="38" t="s">
        <v>272</v>
      </c>
      <c r="K37" s="38" t="s">
        <v>273</v>
      </c>
      <c r="L37" s="37"/>
      <c r="M37" s="37"/>
    </row>
    <row r="38" customFormat="false" ht="38.25" hidden="false" customHeight="true" outlineLevel="0" collapsed="false">
      <c r="A38" s="6" t="s">
        <v>263</v>
      </c>
      <c r="B38" s="7" t="n">
        <f aca="false">'End-Users'!AH22</f>
        <v>22</v>
      </c>
      <c r="C38" s="39" t="n">
        <f aca="false">'End-Users'!AH22/COUNT('End-Users'!$C22:$AF22)</f>
        <v>0.733333333333333</v>
      </c>
      <c r="D38" s="7" t="n">
        <f aca="false">'End-Users'!AI22</f>
        <v>6</v>
      </c>
      <c r="E38" s="39" t="n">
        <f aca="false">'End-Users'!AI22/COUNT('End-Users'!$C22:$AF22)</f>
        <v>0.2</v>
      </c>
      <c r="F38" s="7" t="n">
        <f aca="false">'End-Users'!AJ22</f>
        <v>2</v>
      </c>
      <c r="G38" s="39" t="n">
        <f aca="false">'End-Users'!AJ22/COUNT('End-Users'!$C22:$AF22)</f>
        <v>0.0666666666666667</v>
      </c>
      <c r="H38" s="7" t="n">
        <f aca="false">'End-Users'!AK22</f>
        <v>0</v>
      </c>
      <c r="I38" s="39" t="n">
        <f aca="false">'End-Users'!AK22/COUNT('End-Users'!$C22:$AF22)</f>
        <v>0</v>
      </c>
      <c r="J38" s="7" t="n">
        <f aca="false">'End-Users'!AL22</f>
        <v>0</v>
      </c>
      <c r="K38" s="39" t="n">
        <f aca="false">'End-Users'!AL22/COUNT('End-Users'!$C22:$AF22)</f>
        <v>0</v>
      </c>
      <c r="L38" s="40" t="n">
        <f aca="false">'End-Users'!AG22</f>
        <v>4.66666666666667</v>
      </c>
      <c r="M38" s="7" t="str">
        <f aca="false">IF('End-Users'!AG22&gt;='Scoring Rubrics'!$A$38,'Scoring Rubrics'!$C$38,IF('End-Users'!AG22&gt;='Scoring Rubrics'!$A$39,'Scoring Rubrics'!$C$39,IF('End-Users'!AG22&gt;='Scoring Rubrics'!$A$40,'Scoring Rubrics'!$C$40,IF('End-Users'!AG22&gt;='Scoring Rubrics'!$A$41,'Scoring Rubrics'!$C$41,'Scoring Rubrics'!$C$42))))</f>
        <v>Highly Reliable</v>
      </c>
    </row>
    <row r="39" customFormat="false" ht="38.25" hidden="false" customHeight="true" outlineLevel="0" collapsed="false">
      <c r="A39" s="6" t="s">
        <v>264</v>
      </c>
      <c r="B39" s="7" t="n">
        <f aca="false">'End-Users'!AH23</f>
        <v>23</v>
      </c>
      <c r="C39" s="39" t="n">
        <f aca="false">'End-Users'!AH23/COUNT('End-Users'!$C23:$AF23)</f>
        <v>0.766666666666667</v>
      </c>
      <c r="D39" s="7" t="n">
        <f aca="false">'End-Users'!AI23</f>
        <v>3</v>
      </c>
      <c r="E39" s="39" t="n">
        <f aca="false">'End-Users'!AI23/COUNT('End-Users'!$C23:$AF23)</f>
        <v>0.1</v>
      </c>
      <c r="F39" s="7" t="n">
        <f aca="false">'End-Users'!AJ23</f>
        <v>4</v>
      </c>
      <c r="G39" s="39" t="n">
        <f aca="false">'End-Users'!AJ23/COUNT('End-Users'!$C23:$AF23)</f>
        <v>0.133333333333333</v>
      </c>
      <c r="H39" s="7" t="n">
        <f aca="false">'End-Users'!AK23</f>
        <v>0</v>
      </c>
      <c r="I39" s="39" t="n">
        <f aca="false">'End-Users'!AK23/COUNT('End-Users'!$C23:$AF23)</f>
        <v>0</v>
      </c>
      <c r="J39" s="7" t="n">
        <f aca="false">'End-Users'!AL23</f>
        <v>0</v>
      </c>
      <c r="K39" s="39" t="n">
        <f aca="false">'End-Users'!AL23/COUNT('End-Users'!$C23:$AF23)</f>
        <v>0</v>
      </c>
      <c r="L39" s="40" t="n">
        <f aca="false">'End-Users'!AG23</f>
        <v>4.63333333333333</v>
      </c>
      <c r="M39" s="7" t="str">
        <f aca="false">IF('End-Users'!AG23&gt;='Scoring Rubrics'!$A$38,'Scoring Rubrics'!$C$38,IF('End-Users'!AG23&gt;='Scoring Rubrics'!$A$39,'Scoring Rubrics'!$C$39,IF('End-Users'!AG23&gt;='Scoring Rubrics'!$A$40,'Scoring Rubrics'!$C$40,IF('End-Users'!AG23&gt;='Scoring Rubrics'!$A$41,'Scoring Rubrics'!$C$41,'Scoring Rubrics'!$C$42))))</f>
        <v>Highly Reliable</v>
      </c>
    </row>
    <row r="40" customFormat="false" ht="38.25" hidden="false" customHeight="true" outlineLevel="0" collapsed="false">
      <c r="A40" s="6" t="s">
        <v>265</v>
      </c>
      <c r="B40" s="7" t="n">
        <f aca="false">'End-Users'!AH24</f>
        <v>26</v>
      </c>
      <c r="C40" s="39" t="n">
        <f aca="false">'End-Users'!AH24/COUNT('End-Users'!$C24:$AF24)</f>
        <v>0.866666666666667</v>
      </c>
      <c r="D40" s="7" t="n">
        <f aca="false">'End-Users'!AI24</f>
        <v>4</v>
      </c>
      <c r="E40" s="39" t="n">
        <f aca="false">'End-Users'!AI24/COUNT('End-Users'!$C24:$AF24)</f>
        <v>0.133333333333333</v>
      </c>
      <c r="F40" s="7" t="n">
        <f aca="false">'End-Users'!AJ24</f>
        <v>0</v>
      </c>
      <c r="G40" s="39" t="n">
        <f aca="false">'End-Users'!AJ24/COUNT('End-Users'!$C24:$AF24)</f>
        <v>0</v>
      </c>
      <c r="H40" s="7" t="n">
        <f aca="false">'End-Users'!AK24</f>
        <v>0</v>
      </c>
      <c r="I40" s="39" t="n">
        <f aca="false">'End-Users'!AK24/COUNT('End-Users'!$C24:$AF24)</f>
        <v>0</v>
      </c>
      <c r="J40" s="7" t="n">
        <f aca="false">'End-Users'!AL24</f>
        <v>0</v>
      </c>
      <c r="K40" s="39" t="n">
        <f aca="false">'End-Users'!AL24/COUNT('End-Users'!$C24:$AF24)</f>
        <v>0</v>
      </c>
      <c r="L40" s="40" t="n">
        <f aca="false">'End-Users'!AG24</f>
        <v>4.86666666666667</v>
      </c>
      <c r="M40" s="7" t="str">
        <f aca="false">IF('End-Users'!AG24&gt;='Scoring Rubrics'!$A$38,'Scoring Rubrics'!$C$38,IF('End-Users'!AG24&gt;='Scoring Rubrics'!$A$39,'Scoring Rubrics'!$C$39,IF('End-Users'!AG24&gt;='Scoring Rubrics'!$A$40,'Scoring Rubrics'!$C$40,IF('End-Users'!AG24&gt;='Scoring Rubrics'!$A$41,'Scoring Rubrics'!$C$41,'Scoring Rubrics'!$C$42))))</f>
        <v>Highly Reliable</v>
      </c>
    </row>
    <row r="41" customFormat="false" ht="14.25" hidden="false" customHeight="true" outlineLevel="0" collapsed="false">
      <c r="A41" s="41" t="s">
        <v>274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 t="n">
        <f aca="false">'End-Users'!AG25</f>
        <v>4.72222222222222</v>
      </c>
      <c r="M41" s="38" t="str">
        <f aca="false">IF('End-Users'!AG25&gt;='Scoring Rubrics'!$A$38,'Scoring Rubrics'!$C$38,IF('End-Users'!AG25&gt;='Scoring Rubrics'!$A$39,'Scoring Rubrics'!$C$39,IF('End-Users'!AG25&gt;='Scoring Rubrics'!$A$40,'Scoring Rubrics'!$C$40,IF('End-Users'!AG25&gt;='Scoring Rubrics'!$A$41,'Scoring Rubrics'!$C$41,'Scoring Rubrics'!$C$42))))</f>
        <v>Highly Reliable</v>
      </c>
    </row>
    <row r="42" customFormat="false" ht="37.5" hidden="false" customHeight="true" outlineLevel="0" collapsed="false">
      <c r="A42" s="43" t="s">
        <v>328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5" customFormat="false" ht="14.25" hidden="false" customHeight="true" outlineLevel="0" collapsed="false">
      <c r="A45" s="2" t="s">
        <v>329</v>
      </c>
    </row>
    <row r="46" customFormat="false" ht="15" hidden="false" customHeight="true" outlineLevel="0" collapsed="false">
      <c r="A46" s="36" t="s">
        <v>330</v>
      </c>
      <c r="B46" s="36"/>
      <c r="C46" s="36"/>
      <c r="D46" s="36"/>
      <c r="E46" s="36"/>
      <c r="F46" s="36"/>
      <c r="G46" s="36"/>
      <c r="H46" s="36"/>
    </row>
    <row r="47" customFormat="false" ht="34.5" hidden="false" customHeight="true" outlineLevel="0" collapsed="false">
      <c r="A47" s="37" t="s">
        <v>299</v>
      </c>
      <c r="B47" s="37" t="s">
        <v>174</v>
      </c>
      <c r="C47" s="37"/>
      <c r="D47" s="44" t="s">
        <v>18</v>
      </c>
      <c r="E47" s="44"/>
      <c r="F47" s="44"/>
      <c r="G47" s="44"/>
      <c r="H47" s="44"/>
    </row>
    <row r="48" customFormat="false" ht="14.25" hidden="false" customHeight="true" outlineLevel="0" collapsed="false">
      <c r="A48" s="6" t="s">
        <v>300</v>
      </c>
      <c r="B48" s="45" t="n">
        <f aca="false">'End-Users'!AG10</f>
        <v>4.57777777777778</v>
      </c>
      <c r="C48" s="45"/>
      <c r="D48" s="46" t="str">
        <f aca="false">IF('End-Users'!AG10&gt;='Scoring Rubrics'!$A$6,'Scoring Rubrics'!$C$6,IF('End-Users'!AG10&gt;='Scoring Rubrics'!$A$7,'Scoring Rubrics'!$C$7,IF('End-Users'!AG10&gt;='Scoring Rubrics'!$A$8,'Scoring Rubrics'!$C$8,IF('End-Users'!AG10&gt;='Scoring Rubrics'!$A$9,'Scoring Rubrics'!$C$9,'Scoring Rubrics'!$C$10))))</f>
        <v>Highly Suitable</v>
      </c>
      <c r="E48" s="46"/>
      <c r="F48" s="46"/>
      <c r="G48" s="46"/>
      <c r="H48" s="46"/>
    </row>
    <row r="49" customFormat="false" ht="14.25" hidden="false" customHeight="true" outlineLevel="0" collapsed="false">
      <c r="A49" s="6" t="s">
        <v>301</v>
      </c>
      <c r="B49" s="45" t="n">
        <f aca="false">'End-Users'!AG15</f>
        <v>4.72222222222222</v>
      </c>
      <c r="C49" s="45"/>
      <c r="D49" s="46" t="str">
        <f aca="false">IF('End-Users'!AG15&gt;='Scoring Rubrics'!$A$14,'Scoring Rubrics'!$C$14,IF('End-Users'!AG15&gt;='Scoring Rubrics'!$A$15,'Scoring Rubrics'!$C$15,IF('End-Users'!AG15&gt;='Scoring Rubrics'!$A$16,'Scoring Rubrics'!$C$16,IF('End-Users'!AG15&gt;='Scoring Rubrics'!$A$17,'Scoring Rubrics'!$C$17,'Scoring Rubrics'!$C$18))))</f>
        <v>Highly Efficient</v>
      </c>
      <c r="E49" s="46"/>
      <c r="F49" s="46"/>
      <c r="G49" s="46"/>
      <c r="H49" s="46"/>
    </row>
    <row r="50" customFormat="false" ht="14.25" hidden="false" customHeight="true" outlineLevel="0" collapsed="false">
      <c r="A50" s="6" t="s">
        <v>303</v>
      </c>
      <c r="B50" s="45" t="n">
        <f aca="false">'End-Users'!AG20</f>
        <v>4.14444444444445</v>
      </c>
      <c r="C50" s="45"/>
      <c r="D50" s="46" t="str">
        <f aca="false">IF('End-Users'!AG20&gt;='Scoring Rubrics'!$A$30,'Scoring Rubrics'!$C$30,IF('End-Users'!AG20&gt;='Scoring Rubrics'!$A$31,'Scoring Rubrics'!$C$31,IF('End-Users'!AG20&gt;='Scoring Rubrics'!$A$32,'Scoring Rubrics'!$C$32,IF('End-Users'!AG20&gt;='Scoring Rubrics'!$A$33,'Scoring Rubrics'!$C$33,'Scoring Rubrics'!$C$34))))</f>
        <v>Interactive</v>
      </c>
      <c r="E50" s="46"/>
      <c r="F50" s="46"/>
      <c r="G50" s="46"/>
      <c r="H50" s="46"/>
    </row>
    <row r="51" customFormat="false" ht="14.25" hidden="false" customHeight="true" outlineLevel="0" collapsed="false">
      <c r="A51" s="6" t="s">
        <v>304</v>
      </c>
      <c r="B51" s="45" t="n">
        <f aca="false">'End-Users'!AG25</f>
        <v>4.72222222222222</v>
      </c>
      <c r="C51" s="45"/>
      <c r="D51" s="46" t="str">
        <f aca="false">IF('End-Users'!AG25&gt;='Scoring Rubrics'!$A$38,'Scoring Rubrics'!$C$38,IF('End-Users'!AG25&gt;='Scoring Rubrics'!$A$39,'Scoring Rubrics'!$C$39,IF('End-Users'!AG25&gt;='Scoring Rubrics'!$A$40,'Scoring Rubrics'!$C$40,IF('End-Users'!AG25&gt;='Scoring Rubrics'!$A$41,'Scoring Rubrics'!$C$41,'Scoring Rubrics'!$C$42))))</f>
        <v>Highly Reliable</v>
      </c>
      <c r="E51" s="46"/>
      <c r="F51" s="46"/>
      <c r="G51" s="46"/>
      <c r="H51" s="46"/>
    </row>
    <row r="52" customFormat="false" ht="14.25" hidden="false" customHeight="true" outlineLevel="0" collapsed="false">
      <c r="A52" s="47" t="s">
        <v>308</v>
      </c>
      <c r="B52" s="42" t="n">
        <f aca="false">'End-Users'!AG27</f>
        <v>4.54166666666667</v>
      </c>
      <c r="C52" s="42"/>
      <c r="D52" s="48" t="str">
        <f aca="false">IF('End-Users'!AG27&gt;='Scoring Rubrics'!$A$94,'Scoring Rubrics'!$C$94,IF('End-Users'!AG27&gt;='Scoring Rubrics'!$A$95,'Scoring Rubrics'!$C$95,IF('End-Users'!AG27&gt;='Scoring Rubrics'!$A$96,'Scoring Rubrics'!$C$96,IF('End-Users'!AG27&gt;='Scoring Rubrics'!$A$97,'Scoring Rubrics'!$C$97,'Scoring Rubrics'!$C$98))))</f>
        <v>Strongly Agree</v>
      </c>
      <c r="E52" s="48"/>
      <c r="F52" s="48"/>
      <c r="G52" s="48"/>
      <c r="H52" s="48"/>
    </row>
    <row r="53" customFormat="false" ht="39.75" hidden="false" customHeight="true" outlineLevel="0" collapsed="false">
      <c r="A53" s="43" t="s">
        <v>331</v>
      </c>
      <c r="B53" s="43"/>
      <c r="C53" s="43"/>
      <c r="D53" s="43"/>
      <c r="E53" s="43"/>
      <c r="F53" s="43"/>
      <c r="G53" s="43"/>
      <c r="H53" s="43"/>
    </row>
  </sheetData>
  <mergeCells count="59">
    <mergeCell ref="A2:M2"/>
    <mergeCell ref="A3:A4"/>
    <mergeCell ref="B3:C3"/>
    <mergeCell ref="D3:E3"/>
    <mergeCell ref="F3:G3"/>
    <mergeCell ref="H3:I3"/>
    <mergeCell ref="J3:K3"/>
    <mergeCell ref="L3:L4"/>
    <mergeCell ref="M3:M4"/>
    <mergeCell ref="O3:O8"/>
    <mergeCell ref="A8:K8"/>
    <mergeCell ref="A9:M9"/>
    <mergeCell ref="A13:M13"/>
    <mergeCell ref="A14:A15"/>
    <mergeCell ref="B14:C14"/>
    <mergeCell ref="D14:E14"/>
    <mergeCell ref="F14:G14"/>
    <mergeCell ref="H14:I14"/>
    <mergeCell ref="J14:K14"/>
    <mergeCell ref="L14:L15"/>
    <mergeCell ref="M14:M15"/>
    <mergeCell ref="A19:K19"/>
    <mergeCell ref="A20:M20"/>
    <mergeCell ref="A24:M24"/>
    <mergeCell ref="A25:A26"/>
    <mergeCell ref="B25:C25"/>
    <mergeCell ref="D25:E25"/>
    <mergeCell ref="F25:G25"/>
    <mergeCell ref="H25:I25"/>
    <mergeCell ref="J25:K25"/>
    <mergeCell ref="L25:L26"/>
    <mergeCell ref="M25:M26"/>
    <mergeCell ref="A30:K30"/>
    <mergeCell ref="A31:M31"/>
    <mergeCell ref="A35:M35"/>
    <mergeCell ref="A36:A37"/>
    <mergeCell ref="B36:C36"/>
    <mergeCell ref="D36:E36"/>
    <mergeCell ref="F36:G36"/>
    <mergeCell ref="H36:I36"/>
    <mergeCell ref="J36:K36"/>
    <mergeCell ref="L36:L37"/>
    <mergeCell ref="M36:M37"/>
    <mergeCell ref="A41:K41"/>
    <mergeCell ref="A42:M42"/>
    <mergeCell ref="A46:H46"/>
    <mergeCell ref="B47:C47"/>
    <mergeCell ref="D47:H47"/>
    <mergeCell ref="B48:C48"/>
    <mergeCell ref="D48:H48"/>
    <mergeCell ref="B49:C49"/>
    <mergeCell ref="D49:H49"/>
    <mergeCell ref="B50:C50"/>
    <mergeCell ref="D50:H50"/>
    <mergeCell ref="B51:C51"/>
    <mergeCell ref="D51:H51"/>
    <mergeCell ref="B52:C52"/>
    <mergeCell ref="D52:H52"/>
    <mergeCell ref="A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2" ySplit="6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3" activeCellId="0" sqref="A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7" min="3" style="1" width="5.18"/>
    <col collapsed="false" customWidth="true" hidden="false" outlineLevel="0" max="8" min="8" style="1" width="8"/>
    <col collapsed="false" customWidth="true" hidden="false" outlineLevel="0" max="13" min="9" style="1" width="7.45"/>
    <col collapsed="false" customWidth="true" hidden="false" outlineLevel="0" max="18" min="14" style="1" width="8.43"/>
  </cols>
  <sheetData>
    <row r="1" customFormat="false" ht="15.75" hidden="false" customHeight="true" outlineLevel="0" collapsed="false">
      <c r="A1" s="22" t="s">
        <v>332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customFormat="false" ht="15" hidden="false" customHeight="true" outlineLevel="0" collapsed="false">
      <c r="A2" s="23" t="s">
        <v>333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customFormat="false" ht="15" hidden="false" customHeight="true" outlineLevel="0" collapsed="false">
      <c r="A3" s="24" t="s">
        <v>166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5" customFormat="false" ht="27.75" hidden="false" customHeight="true" outlineLevel="0" collapsed="false">
      <c r="A5" s="17" t="s">
        <v>167</v>
      </c>
      <c r="B5" s="17" t="s">
        <v>168</v>
      </c>
      <c r="C5" s="17" t="s">
        <v>169</v>
      </c>
      <c r="D5" s="17" t="s">
        <v>170</v>
      </c>
      <c r="E5" s="17" t="s">
        <v>171</v>
      </c>
      <c r="F5" s="17" t="s">
        <v>172</v>
      </c>
      <c r="G5" s="17" t="s">
        <v>173</v>
      </c>
      <c r="H5" s="17" t="s">
        <v>174</v>
      </c>
      <c r="I5" s="17" t="s">
        <v>334</v>
      </c>
      <c r="J5" s="17" t="s">
        <v>250</v>
      </c>
      <c r="K5" s="17" t="s">
        <v>335</v>
      </c>
      <c r="L5" s="17" t="s">
        <v>336</v>
      </c>
      <c r="M5" s="17" t="s">
        <v>337</v>
      </c>
    </row>
    <row r="6" customFormat="false" ht="15" hidden="false" customHeight="true" outlineLevel="0" collapsed="false">
      <c r="A6" s="25" t="s">
        <v>338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customFormat="false" ht="40.5" hidden="false" customHeight="true" outlineLevel="0" collapsed="false">
      <c r="A7" s="26" t="n">
        <v>1</v>
      </c>
      <c r="B7" s="27" t="s">
        <v>339</v>
      </c>
      <c r="C7" s="28" t="n">
        <v>5</v>
      </c>
      <c r="D7" s="28" t="n">
        <v>4</v>
      </c>
      <c r="E7" s="28" t="n">
        <v>4</v>
      </c>
      <c r="F7" s="28" t="n">
        <v>3</v>
      </c>
      <c r="G7" s="28" t="n">
        <v>3</v>
      </c>
      <c r="H7" s="29" t="n">
        <f aca="false">(5*I7+4*J7+3*K7+2*L7+1*M7)/SUM(I7:M7)</f>
        <v>3.8</v>
      </c>
      <c r="I7" s="26" t="n">
        <f aca="false">COUNTIF(C7:G7,5)</f>
        <v>1</v>
      </c>
      <c r="J7" s="26" t="n">
        <f aca="false">COUNTIF(C7:G7,4)</f>
        <v>2</v>
      </c>
      <c r="K7" s="26" t="n">
        <f aca="false">COUNTIF(C7:G7,3)</f>
        <v>2</v>
      </c>
      <c r="L7" s="26" t="n">
        <f aca="false">COUNTIF(C7:G7,2)</f>
        <v>0</v>
      </c>
      <c r="M7" s="26" t="n">
        <f aca="false">COUNTIF(C7:G7,1)</f>
        <v>0</v>
      </c>
    </row>
    <row r="8" customFormat="false" ht="40.5" hidden="false" customHeight="true" outlineLevel="0" collapsed="false">
      <c r="A8" s="26" t="n">
        <v>2</v>
      </c>
      <c r="B8" s="27" t="s">
        <v>340</v>
      </c>
      <c r="C8" s="28" t="n">
        <v>4</v>
      </c>
      <c r="D8" s="28" t="n">
        <v>4</v>
      </c>
      <c r="E8" s="28" t="n">
        <v>4</v>
      </c>
      <c r="F8" s="28" t="n">
        <v>4</v>
      </c>
      <c r="G8" s="28" t="n">
        <v>5</v>
      </c>
      <c r="H8" s="29" t="n">
        <f aca="false">(5*I8+4*J8+3*K8+2*L8+1*M8)/SUM(I8:M8)</f>
        <v>4.2</v>
      </c>
      <c r="I8" s="26" t="n">
        <f aca="false">COUNTIF(C8:G8,5)</f>
        <v>1</v>
      </c>
      <c r="J8" s="26" t="n">
        <f aca="false">COUNTIF(C8:G8,4)</f>
        <v>4</v>
      </c>
      <c r="K8" s="26" t="n">
        <f aca="false">COUNTIF(C8:G8,3)</f>
        <v>0</v>
      </c>
      <c r="L8" s="26" t="n">
        <f aca="false">COUNTIF(C8:G8,2)</f>
        <v>0</v>
      </c>
      <c r="M8" s="26" t="n">
        <f aca="false">COUNTIF(C8:G8,1)</f>
        <v>0</v>
      </c>
    </row>
    <row r="9" customFormat="false" ht="40.5" hidden="false" customHeight="true" outlineLevel="0" collapsed="false">
      <c r="A9" s="26" t="n">
        <v>3</v>
      </c>
      <c r="B9" s="27" t="s">
        <v>341</v>
      </c>
      <c r="C9" s="28" t="n">
        <v>5</v>
      </c>
      <c r="D9" s="28" t="n">
        <v>4</v>
      </c>
      <c r="E9" s="28" t="n">
        <v>4</v>
      </c>
      <c r="F9" s="28" t="n">
        <v>4</v>
      </c>
      <c r="G9" s="28" t="n">
        <v>5</v>
      </c>
      <c r="H9" s="29" t="n">
        <f aca="false">(5*I9+4*J9+3*K9+2*L9+1*M9)/SUM(I9:M9)</f>
        <v>4.4</v>
      </c>
      <c r="I9" s="26" t="n">
        <f aca="false">COUNTIF(C9:G9,5)</f>
        <v>2</v>
      </c>
      <c r="J9" s="26" t="n">
        <f aca="false">COUNTIF(C9:G9,4)</f>
        <v>3</v>
      </c>
      <c r="K9" s="26" t="n">
        <f aca="false">COUNTIF(C9:G9,3)</f>
        <v>0</v>
      </c>
      <c r="L9" s="26" t="n">
        <f aca="false">COUNTIF(C9:G9,2)</f>
        <v>0</v>
      </c>
      <c r="M9" s="26" t="n">
        <f aca="false">COUNTIF(C9:G9,1)</f>
        <v>0</v>
      </c>
    </row>
    <row r="10" customFormat="false" ht="15" hidden="false" customHeight="true" outlineLevel="0" collapsed="false">
      <c r="A10" s="51" t="s">
        <v>342</v>
      </c>
      <c r="B10" s="51"/>
      <c r="C10" s="51"/>
      <c r="D10" s="51"/>
      <c r="E10" s="51"/>
      <c r="F10" s="51"/>
      <c r="G10" s="51"/>
      <c r="H10" s="31" t="n">
        <f aca="false">AVERAGE(H7:H9)</f>
        <v>4.13333333333333</v>
      </c>
      <c r="I10" s="32"/>
      <c r="J10" s="32"/>
      <c r="K10" s="32"/>
      <c r="L10" s="32"/>
      <c r="M10" s="32"/>
    </row>
    <row r="12" customFormat="false" ht="15" hidden="false" customHeight="true" outlineLevel="0" collapsed="false">
      <c r="A12" s="25" t="s">
        <v>343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customFormat="false" ht="40.5" hidden="false" customHeight="true" outlineLevel="0" collapsed="false">
      <c r="A13" s="26" t="n">
        <v>4</v>
      </c>
      <c r="B13" s="27" t="s">
        <v>344</v>
      </c>
      <c r="C13" s="28" t="n">
        <v>4</v>
      </c>
      <c r="D13" s="28" t="n">
        <v>4</v>
      </c>
      <c r="E13" s="28" t="n">
        <v>4</v>
      </c>
      <c r="F13" s="28" t="n">
        <v>5</v>
      </c>
      <c r="G13" s="28" t="n">
        <v>4</v>
      </c>
      <c r="H13" s="29" t="n">
        <f aca="false">(5*I13+4*J13+3*K13+2*L13+1*M13)/SUM(I13:M13)</f>
        <v>4.2</v>
      </c>
      <c r="I13" s="26" t="n">
        <f aca="false">COUNTIF(C13:G13,5)</f>
        <v>1</v>
      </c>
      <c r="J13" s="26" t="n">
        <f aca="false">COUNTIF(C13:G13,4)</f>
        <v>4</v>
      </c>
      <c r="K13" s="26" t="n">
        <f aca="false">COUNTIF(C13:G13,3)</f>
        <v>0</v>
      </c>
      <c r="L13" s="26" t="n">
        <f aca="false">COUNTIF(C13:G13,2)</f>
        <v>0</v>
      </c>
      <c r="M13" s="26" t="n">
        <f aca="false">COUNTIF(C13:G13,1)</f>
        <v>0</v>
      </c>
    </row>
    <row r="14" customFormat="false" ht="40.5" hidden="false" customHeight="true" outlineLevel="0" collapsed="false">
      <c r="A14" s="26" t="n">
        <v>5</v>
      </c>
      <c r="B14" s="27" t="s">
        <v>345</v>
      </c>
      <c r="C14" s="28" t="n">
        <v>5</v>
      </c>
      <c r="D14" s="28" t="n">
        <v>3</v>
      </c>
      <c r="E14" s="28" t="n">
        <v>3</v>
      </c>
      <c r="F14" s="28" t="n">
        <v>3</v>
      </c>
      <c r="G14" s="28" t="n">
        <v>3</v>
      </c>
      <c r="H14" s="29" t="n">
        <f aca="false">(5*I14+4*J14+3*K14+2*L14+1*M14)/SUM(I14:M14)</f>
        <v>3.4</v>
      </c>
      <c r="I14" s="26" t="n">
        <f aca="false">COUNTIF(C14:G14,5)</f>
        <v>1</v>
      </c>
      <c r="J14" s="26" t="n">
        <f aca="false">COUNTIF(C14:G14,4)</f>
        <v>0</v>
      </c>
      <c r="K14" s="26" t="n">
        <f aca="false">COUNTIF(C14:G14,3)</f>
        <v>4</v>
      </c>
      <c r="L14" s="26" t="n">
        <f aca="false">COUNTIF(C14:G14,2)</f>
        <v>0</v>
      </c>
      <c r="M14" s="26" t="n">
        <f aca="false">COUNTIF(C14:G14,1)</f>
        <v>0</v>
      </c>
    </row>
    <row r="15" customFormat="false" ht="40.5" hidden="false" customHeight="true" outlineLevel="0" collapsed="false">
      <c r="A15" s="26" t="n">
        <v>6</v>
      </c>
      <c r="B15" s="27" t="s">
        <v>346</v>
      </c>
      <c r="C15" s="28" t="n">
        <v>4</v>
      </c>
      <c r="D15" s="28" t="n">
        <v>4</v>
      </c>
      <c r="E15" s="28" t="n">
        <v>4</v>
      </c>
      <c r="F15" s="28" t="n">
        <v>4</v>
      </c>
      <c r="G15" s="28" t="n">
        <v>4</v>
      </c>
      <c r="H15" s="29" t="n">
        <f aca="false">(5*I15+4*J15+3*K15+2*L15+1*M15)/SUM(I15:M15)</f>
        <v>4</v>
      </c>
      <c r="I15" s="26" t="n">
        <f aca="false">COUNTIF(C15:G15,5)</f>
        <v>0</v>
      </c>
      <c r="J15" s="26" t="n">
        <f aca="false">COUNTIF(C15:G15,4)</f>
        <v>5</v>
      </c>
      <c r="K15" s="26" t="n">
        <f aca="false">COUNTIF(C15:G15,3)</f>
        <v>0</v>
      </c>
      <c r="L15" s="26" t="n">
        <f aca="false">COUNTIF(C15:G15,2)</f>
        <v>0</v>
      </c>
      <c r="M15" s="26" t="n">
        <f aca="false">COUNTIF(C15:G15,1)</f>
        <v>0</v>
      </c>
    </row>
    <row r="16" customFormat="false" ht="40.5" hidden="false" customHeight="true" outlineLevel="0" collapsed="false">
      <c r="A16" s="26" t="n">
        <v>7</v>
      </c>
      <c r="B16" s="27" t="s">
        <v>347</v>
      </c>
      <c r="C16" s="28" t="n">
        <v>3</v>
      </c>
      <c r="D16" s="28" t="n">
        <v>4</v>
      </c>
      <c r="E16" s="28" t="n">
        <v>4</v>
      </c>
      <c r="F16" s="28" t="n">
        <v>4</v>
      </c>
      <c r="G16" s="28" t="n">
        <v>4</v>
      </c>
      <c r="H16" s="29" t="n">
        <f aca="false">(5*I16+4*J16+3*K16+2*L16+1*M16)/SUM(I16:M16)</f>
        <v>3.8</v>
      </c>
      <c r="I16" s="26" t="n">
        <f aca="false">COUNTIF(C16:G16,5)</f>
        <v>0</v>
      </c>
      <c r="J16" s="26" t="n">
        <f aca="false">COUNTIF(C16:G16,4)</f>
        <v>4</v>
      </c>
      <c r="K16" s="26" t="n">
        <f aca="false">COUNTIF(C16:G16,3)</f>
        <v>1</v>
      </c>
      <c r="L16" s="26" t="n">
        <f aca="false">COUNTIF(C16:G16,2)</f>
        <v>0</v>
      </c>
      <c r="M16" s="26" t="n">
        <f aca="false">COUNTIF(C16:G16,1)</f>
        <v>0</v>
      </c>
    </row>
    <row r="17" customFormat="false" ht="15" hidden="false" customHeight="true" outlineLevel="0" collapsed="false">
      <c r="A17" s="51" t="s">
        <v>348</v>
      </c>
      <c r="B17" s="51"/>
      <c r="C17" s="51"/>
      <c r="D17" s="51"/>
      <c r="E17" s="51"/>
      <c r="F17" s="51"/>
      <c r="G17" s="51"/>
      <c r="H17" s="31" t="n">
        <f aca="false">AVERAGE(H13:H16)</f>
        <v>3.85</v>
      </c>
      <c r="I17" s="32"/>
      <c r="J17" s="32"/>
      <c r="K17" s="32"/>
      <c r="L17" s="32"/>
      <c r="M17" s="32"/>
    </row>
    <row r="19" customFormat="false" ht="15" hidden="false" customHeight="true" outlineLevel="0" collapsed="false">
      <c r="A19" s="25" t="s">
        <v>349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customFormat="false" ht="40.5" hidden="false" customHeight="true" outlineLevel="0" collapsed="false">
      <c r="A20" s="26" t="n">
        <v>8</v>
      </c>
      <c r="B20" s="27" t="s">
        <v>350</v>
      </c>
      <c r="C20" s="28" t="n">
        <v>5</v>
      </c>
      <c r="D20" s="28" t="n">
        <v>4</v>
      </c>
      <c r="E20" s="28" t="n">
        <v>5</v>
      </c>
      <c r="F20" s="28" t="n">
        <v>5</v>
      </c>
      <c r="G20" s="28" t="n">
        <v>5</v>
      </c>
      <c r="H20" s="29" t="n">
        <f aca="false">(5*I20+4*J20+3*K20+2*L20+1*M20)/SUM(I20:M20)</f>
        <v>4.8</v>
      </c>
      <c r="I20" s="26" t="n">
        <f aca="false">COUNTIF(C20:G20,5)</f>
        <v>4</v>
      </c>
      <c r="J20" s="26" t="n">
        <f aca="false">COUNTIF(C20:G20,4)</f>
        <v>1</v>
      </c>
      <c r="K20" s="26" t="n">
        <f aca="false">COUNTIF(C20:G20,3)</f>
        <v>0</v>
      </c>
      <c r="L20" s="26" t="n">
        <f aca="false">COUNTIF(C20:G20,2)</f>
        <v>0</v>
      </c>
      <c r="M20" s="26" t="n">
        <f aca="false">COUNTIF(C20:G20,1)</f>
        <v>0</v>
      </c>
    </row>
    <row r="21" customFormat="false" ht="27" hidden="false" customHeight="true" outlineLevel="0" collapsed="false">
      <c r="A21" s="26" t="n">
        <v>9</v>
      </c>
      <c r="B21" s="27" t="s">
        <v>351</v>
      </c>
      <c r="C21" s="28" t="n">
        <v>4</v>
      </c>
      <c r="D21" s="28" t="n">
        <v>4</v>
      </c>
      <c r="E21" s="28" t="n">
        <v>5</v>
      </c>
      <c r="F21" s="28" t="n">
        <v>5</v>
      </c>
      <c r="G21" s="28" t="n">
        <v>5</v>
      </c>
      <c r="H21" s="29" t="n">
        <f aca="false">(5*I21+4*J21+3*K21+2*L21+1*M21)/SUM(I21:M21)</f>
        <v>4.6</v>
      </c>
      <c r="I21" s="26" t="n">
        <f aca="false">COUNTIF(C21:G21,5)</f>
        <v>3</v>
      </c>
      <c r="J21" s="26" t="n">
        <f aca="false">COUNTIF(C21:G21,4)</f>
        <v>2</v>
      </c>
      <c r="K21" s="26" t="n">
        <f aca="false">COUNTIF(C21:G21,3)</f>
        <v>0</v>
      </c>
      <c r="L21" s="26" t="n">
        <f aca="false">COUNTIF(C21:G21,2)</f>
        <v>0</v>
      </c>
      <c r="M21" s="26" t="n">
        <f aca="false">COUNTIF(C21:G21,1)</f>
        <v>0</v>
      </c>
    </row>
    <row r="22" customFormat="false" ht="40.5" hidden="false" customHeight="true" outlineLevel="0" collapsed="false">
      <c r="A22" s="26" t="n">
        <v>10</v>
      </c>
      <c r="B22" s="27" t="s">
        <v>352</v>
      </c>
      <c r="C22" s="28" t="n">
        <v>5</v>
      </c>
      <c r="D22" s="28" t="n">
        <v>4</v>
      </c>
      <c r="E22" s="28" t="n">
        <v>5</v>
      </c>
      <c r="F22" s="28" t="n">
        <v>5</v>
      </c>
      <c r="G22" s="28" t="n">
        <v>5</v>
      </c>
      <c r="H22" s="29" t="n">
        <f aca="false">(5*I22+4*J22+3*K22+2*L22+1*M22)/SUM(I22:M22)</f>
        <v>4.8</v>
      </c>
      <c r="I22" s="26" t="n">
        <f aca="false">COUNTIF(C22:G22,5)</f>
        <v>4</v>
      </c>
      <c r="J22" s="26" t="n">
        <f aca="false">COUNTIF(C22:G22,4)</f>
        <v>1</v>
      </c>
      <c r="K22" s="26" t="n">
        <f aca="false">COUNTIF(C22:G22,3)</f>
        <v>0</v>
      </c>
      <c r="L22" s="26" t="n">
        <f aca="false">COUNTIF(C22:G22,2)</f>
        <v>0</v>
      </c>
      <c r="M22" s="26" t="n">
        <f aca="false">COUNTIF(C22:G22,1)</f>
        <v>0</v>
      </c>
    </row>
    <row r="23" customFormat="false" ht="27" hidden="false" customHeight="true" outlineLevel="0" collapsed="false">
      <c r="A23" s="26" t="n">
        <v>11</v>
      </c>
      <c r="B23" s="27" t="s">
        <v>353</v>
      </c>
      <c r="C23" s="28" t="n">
        <v>5</v>
      </c>
      <c r="D23" s="28" t="n">
        <v>3</v>
      </c>
      <c r="E23" s="28" t="n">
        <v>3</v>
      </c>
      <c r="F23" s="28" t="n">
        <v>5</v>
      </c>
      <c r="G23" s="28" t="n">
        <v>5</v>
      </c>
      <c r="H23" s="29" t="n">
        <f aca="false">(5*I23+4*J23+3*K23+2*L23+1*M23)/SUM(I23:M23)</f>
        <v>4.2</v>
      </c>
      <c r="I23" s="26" t="n">
        <f aca="false">COUNTIF(C23:G23,5)</f>
        <v>3</v>
      </c>
      <c r="J23" s="26" t="n">
        <f aca="false">COUNTIF(C23:G23,4)</f>
        <v>0</v>
      </c>
      <c r="K23" s="26" t="n">
        <f aca="false">COUNTIF(C23:G23,3)</f>
        <v>2</v>
      </c>
      <c r="L23" s="26" t="n">
        <f aca="false">COUNTIF(C23:G23,2)</f>
        <v>0</v>
      </c>
      <c r="M23" s="26" t="n">
        <f aca="false">COUNTIF(C23:G23,1)</f>
        <v>0</v>
      </c>
    </row>
    <row r="24" customFormat="false" ht="27" hidden="false" customHeight="true" outlineLevel="0" collapsed="false">
      <c r="A24" s="26" t="n">
        <v>12</v>
      </c>
      <c r="B24" s="27" t="s">
        <v>354</v>
      </c>
      <c r="C24" s="28" t="n">
        <v>4</v>
      </c>
      <c r="D24" s="28" t="n">
        <v>3</v>
      </c>
      <c r="E24" s="28" t="n">
        <v>4</v>
      </c>
      <c r="F24" s="28" t="n">
        <v>4</v>
      </c>
      <c r="G24" s="28" t="n">
        <v>5</v>
      </c>
      <c r="H24" s="29" t="n">
        <f aca="false">(5*I24+4*J24+3*K24+2*L24+1*M24)/SUM(I24:M24)</f>
        <v>4</v>
      </c>
      <c r="I24" s="26" t="n">
        <f aca="false">COUNTIF(C24:G24,5)</f>
        <v>1</v>
      </c>
      <c r="J24" s="26" t="n">
        <f aca="false">COUNTIF(C24:G24,4)</f>
        <v>3</v>
      </c>
      <c r="K24" s="26" t="n">
        <f aca="false">COUNTIF(C24:G24,3)</f>
        <v>1</v>
      </c>
      <c r="L24" s="26" t="n">
        <f aca="false">COUNTIF(C24:G24,2)</f>
        <v>0</v>
      </c>
      <c r="M24" s="26" t="n">
        <f aca="false">COUNTIF(C24:G24,1)</f>
        <v>0</v>
      </c>
    </row>
    <row r="25" customFormat="false" ht="40.5" hidden="false" customHeight="true" outlineLevel="0" collapsed="false">
      <c r="A25" s="26" t="n">
        <v>13</v>
      </c>
      <c r="B25" s="27" t="s">
        <v>355</v>
      </c>
      <c r="C25" s="28" t="n">
        <v>5</v>
      </c>
      <c r="D25" s="28" t="n">
        <v>4</v>
      </c>
      <c r="E25" s="28" t="n">
        <v>4</v>
      </c>
      <c r="F25" s="28" t="n">
        <v>5</v>
      </c>
      <c r="G25" s="28" t="n">
        <v>5</v>
      </c>
      <c r="H25" s="29" t="n">
        <f aca="false">(5*I25+4*J25+3*K25+2*L25+1*M25)/SUM(I25:M25)</f>
        <v>4.6</v>
      </c>
      <c r="I25" s="26" t="n">
        <f aca="false">COUNTIF(C25:G25,5)</f>
        <v>3</v>
      </c>
      <c r="J25" s="26" t="n">
        <f aca="false">COUNTIF(C25:G25,4)</f>
        <v>2</v>
      </c>
      <c r="K25" s="26" t="n">
        <f aca="false">COUNTIF(C25:G25,3)</f>
        <v>0</v>
      </c>
      <c r="L25" s="26" t="n">
        <f aca="false">COUNTIF(C25:G25,2)</f>
        <v>0</v>
      </c>
      <c r="M25" s="26" t="n">
        <f aca="false">COUNTIF(C25:G25,1)</f>
        <v>0</v>
      </c>
    </row>
    <row r="26" customFormat="false" ht="40.5" hidden="false" customHeight="true" outlineLevel="0" collapsed="false">
      <c r="A26" s="26" t="n">
        <v>14</v>
      </c>
      <c r="B26" s="27" t="s">
        <v>356</v>
      </c>
      <c r="C26" s="28" t="n">
        <v>5</v>
      </c>
      <c r="D26" s="28" t="n">
        <v>4</v>
      </c>
      <c r="E26" s="28" t="n">
        <v>4</v>
      </c>
      <c r="F26" s="28" t="n">
        <v>4</v>
      </c>
      <c r="G26" s="28" t="n">
        <v>5</v>
      </c>
      <c r="H26" s="29" t="n">
        <f aca="false">(5*I26+4*J26+3*K26+2*L26+1*M26)/SUM(I26:M26)</f>
        <v>4.4</v>
      </c>
      <c r="I26" s="26" t="n">
        <f aca="false">COUNTIF(C26:G26,5)</f>
        <v>2</v>
      </c>
      <c r="J26" s="26" t="n">
        <f aca="false">COUNTIF(C26:G26,4)</f>
        <v>3</v>
      </c>
      <c r="K26" s="26" t="n">
        <f aca="false">COUNTIF(C26:G26,3)</f>
        <v>0</v>
      </c>
      <c r="L26" s="26" t="n">
        <f aca="false">COUNTIF(C26:G26,2)</f>
        <v>0</v>
      </c>
      <c r="M26" s="26" t="n">
        <f aca="false">COUNTIF(C26:G26,1)</f>
        <v>0</v>
      </c>
    </row>
    <row r="27" customFormat="false" ht="40.5" hidden="false" customHeight="true" outlineLevel="0" collapsed="false">
      <c r="A27" s="26" t="n">
        <v>15</v>
      </c>
      <c r="B27" s="27" t="s">
        <v>357</v>
      </c>
      <c r="C27" s="28" t="n">
        <v>5</v>
      </c>
      <c r="D27" s="28" t="n">
        <v>4</v>
      </c>
      <c r="E27" s="28" t="n">
        <v>4</v>
      </c>
      <c r="F27" s="28" t="n">
        <v>5</v>
      </c>
      <c r="G27" s="28" t="n">
        <v>5</v>
      </c>
      <c r="H27" s="29" t="n">
        <f aca="false">(5*I27+4*J27+3*K27+2*L27+1*M27)/SUM(I27:M27)</f>
        <v>4.6</v>
      </c>
      <c r="I27" s="26" t="n">
        <f aca="false">COUNTIF(C27:G27,5)</f>
        <v>3</v>
      </c>
      <c r="J27" s="26" t="n">
        <f aca="false">COUNTIF(C27:G27,4)</f>
        <v>2</v>
      </c>
      <c r="K27" s="26" t="n">
        <f aca="false">COUNTIF(C27:G27,3)</f>
        <v>0</v>
      </c>
      <c r="L27" s="26" t="n">
        <f aca="false">COUNTIF(C27:G27,2)</f>
        <v>0</v>
      </c>
      <c r="M27" s="26" t="n">
        <f aca="false">COUNTIF(C27:G27,1)</f>
        <v>0</v>
      </c>
    </row>
    <row r="28" customFormat="false" ht="40.5" hidden="false" customHeight="true" outlineLevel="0" collapsed="false">
      <c r="A28" s="26" t="n">
        <v>16</v>
      </c>
      <c r="B28" s="27" t="s">
        <v>358</v>
      </c>
      <c r="C28" s="28" t="n">
        <v>5</v>
      </c>
      <c r="D28" s="28" t="n">
        <v>5</v>
      </c>
      <c r="E28" s="28" t="n">
        <v>4</v>
      </c>
      <c r="F28" s="28" t="n">
        <v>5</v>
      </c>
      <c r="G28" s="28" t="n">
        <v>5</v>
      </c>
      <c r="H28" s="29" t="n">
        <f aca="false">(5*I28+4*J28+3*K28+2*L28+1*M28)/SUM(I28:M28)</f>
        <v>4.8</v>
      </c>
      <c r="I28" s="26" t="n">
        <f aca="false">COUNTIF(C28:G28,5)</f>
        <v>4</v>
      </c>
      <c r="J28" s="26" t="n">
        <f aca="false">COUNTIF(C28:G28,4)</f>
        <v>1</v>
      </c>
      <c r="K28" s="26" t="n">
        <f aca="false">COUNTIF(C28:G28,3)</f>
        <v>0</v>
      </c>
      <c r="L28" s="26" t="n">
        <f aca="false">COUNTIF(C28:G28,2)</f>
        <v>0</v>
      </c>
      <c r="M28" s="26" t="n">
        <f aca="false">COUNTIF(C28:G28,1)</f>
        <v>0</v>
      </c>
    </row>
    <row r="29" customFormat="false" ht="15" hidden="false" customHeight="true" outlineLevel="0" collapsed="false">
      <c r="A29" s="51" t="s">
        <v>359</v>
      </c>
      <c r="B29" s="51"/>
      <c r="C29" s="51"/>
      <c r="D29" s="51"/>
      <c r="E29" s="51"/>
      <c r="F29" s="51"/>
      <c r="G29" s="51"/>
      <c r="H29" s="31" t="n">
        <f aca="false">AVERAGE(H20:H28)</f>
        <v>4.53333333333333</v>
      </c>
      <c r="I29" s="32"/>
      <c r="J29" s="32"/>
      <c r="K29" s="32"/>
      <c r="L29" s="32"/>
      <c r="M29" s="32"/>
    </row>
    <row r="31" customFormat="false" ht="27.75" hidden="false" customHeight="true" outlineLevel="0" collapsed="false">
      <c r="A31" s="25" t="s">
        <v>360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customFormat="false" ht="40.5" hidden="false" customHeight="true" outlineLevel="0" collapsed="false">
      <c r="A32" s="26" t="n">
        <v>17</v>
      </c>
      <c r="B32" s="27" t="s">
        <v>361</v>
      </c>
      <c r="C32" s="28" t="n">
        <v>4</v>
      </c>
      <c r="D32" s="28" t="n">
        <v>4</v>
      </c>
      <c r="E32" s="28" t="n">
        <v>4</v>
      </c>
      <c r="F32" s="28" t="n">
        <v>4</v>
      </c>
      <c r="G32" s="28" t="n">
        <v>4</v>
      </c>
      <c r="H32" s="29" t="n">
        <f aca="false">(5*I32+4*J32+3*K32+2*L32+1*M32)/SUM(I32:M32)</f>
        <v>4</v>
      </c>
      <c r="I32" s="26" t="n">
        <f aca="false">COUNTIF(C32:G32,5)</f>
        <v>0</v>
      </c>
      <c r="J32" s="26" t="n">
        <f aca="false">COUNTIF(C32:G32,4)</f>
        <v>5</v>
      </c>
      <c r="K32" s="26" t="n">
        <f aca="false">COUNTIF(C32:G32,3)</f>
        <v>0</v>
      </c>
      <c r="L32" s="26" t="n">
        <f aca="false">COUNTIF(C32:G32,2)</f>
        <v>0</v>
      </c>
      <c r="M32" s="26" t="n">
        <f aca="false">COUNTIF(C32:G32,1)</f>
        <v>0</v>
      </c>
    </row>
    <row r="33" customFormat="false" ht="40.5" hidden="false" customHeight="true" outlineLevel="0" collapsed="false">
      <c r="A33" s="26" t="n">
        <v>18</v>
      </c>
      <c r="B33" s="27" t="s">
        <v>362</v>
      </c>
      <c r="C33" s="28" t="n">
        <v>4</v>
      </c>
      <c r="D33" s="28" t="n">
        <v>4</v>
      </c>
      <c r="E33" s="28" t="n">
        <v>3</v>
      </c>
      <c r="F33" s="28" t="n">
        <v>4</v>
      </c>
      <c r="G33" s="28" t="n">
        <v>3</v>
      </c>
      <c r="H33" s="29" t="n">
        <f aca="false">(5*I33+4*J33+3*K33+2*L33+1*M33)/SUM(I33:M33)</f>
        <v>3.6</v>
      </c>
      <c r="I33" s="26" t="n">
        <f aca="false">COUNTIF(C33:G33,5)</f>
        <v>0</v>
      </c>
      <c r="J33" s="26" t="n">
        <f aca="false">COUNTIF(C33:G33,4)</f>
        <v>3</v>
      </c>
      <c r="K33" s="26" t="n">
        <f aca="false">COUNTIF(C33:G33,3)</f>
        <v>2</v>
      </c>
      <c r="L33" s="26" t="n">
        <f aca="false">COUNTIF(C33:G33,2)</f>
        <v>0</v>
      </c>
      <c r="M33" s="26" t="n">
        <f aca="false">COUNTIF(C33:G33,1)</f>
        <v>0</v>
      </c>
    </row>
    <row r="34" customFormat="false" ht="40.5" hidden="false" customHeight="true" outlineLevel="0" collapsed="false">
      <c r="A34" s="26" t="n">
        <v>19</v>
      </c>
      <c r="B34" s="27" t="s">
        <v>363</v>
      </c>
      <c r="C34" s="28" t="n">
        <v>5</v>
      </c>
      <c r="D34" s="28" t="n">
        <v>3</v>
      </c>
      <c r="E34" s="28" t="n">
        <v>4</v>
      </c>
      <c r="F34" s="28" t="n">
        <v>4</v>
      </c>
      <c r="G34" s="28" t="n">
        <v>4</v>
      </c>
      <c r="H34" s="29" t="n">
        <f aca="false">(5*I34+4*J34+3*K34+2*L34+1*M34)/SUM(I34:M34)</f>
        <v>4</v>
      </c>
      <c r="I34" s="26" t="n">
        <f aca="false">COUNTIF(C34:G34,5)</f>
        <v>1</v>
      </c>
      <c r="J34" s="26" t="n">
        <f aca="false">COUNTIF(C34:G34,4)</f>
        <v>3</v>
      </c>
      <c r="K34" s="26" t="n">
        <f aca="false">COUNTIF(C34:G34,3)</f>
        <v>1</v>
      </c>
      <c r="L34" s="26" t="n">
        <f aca="false">COUNTIF(C34:G34,2)</f>
        <v>0</v>
      </c>
      <c r="M34" s="26" t="n">
        <f aca="false">COUNTIF(C34:G34,1)</f>
        <v>0</v>
      </c>
    </row>
    <row r="35" customFormat="false" ht="40.5" hidden="false" customHeight="true" outlineLevel="0" collapsed="false">
      <c r="A35" s="26" t="n">
        <v>20</v>
      </c>
      <c r="B35" s="27" t="s">
        <v>364</v>
      </c>
      <c r="C35" s="28" t="n">
        <v>5</v>
      </c>
      <c r="D35" s="28" t="n">
        <v>4</v>
      </c>
      <c r="E35" s="28" t="n">
        <v>4</v>
      </c>
      <c r="F35" s="28" t="n">
        <v>4</v>
      </c>
      <c r="G35" s="28" t="n">
        <v>4</v>
      </c>
      <c r="H35" s="29" t="n">
        <f aca="false">(5*I35+4*J35+3*K35+2*L35+1*M35)/SUM(I35:M35)</f>
        <v>4.2</v>
      </c>
      <c r="I35" s="26" t="n">
        <f aca="false">COUNTIF(C35:G35,5)</f>
        <v>1</v>
      </c>
      <c r="J35" s="26" t="n">
        <f aca="false">COUNTIF(C35:G35,4)</f>
        <v>4</v>
      </c>
      <c r="K35" s="26" t="n">
        <f aca="false">COUNTIF(C35:G35,3)</f>
        <v>0</v>
      </c>
      <c r="L35" s="26" t="n">
        <f aca="false">COUNTIF(C35:G35,2)</f>
        <v>0</v>
      </c>
      <c r="M35" s="26" t="n">
        <f aca="false">COUNTIF(C35:G35,1)</f>
        <v>0</v>
      </c>
    </row>
    <row r="36" customFormat="false" ht="40.5" hidden="false" customHeight="true" outlineLevel="0" collapsed="false">
      <c r="A36" s="26" t="n">
        <v>21</v>
      </c>
      <c r="B36" s="27" t="s">
        <v>365</v>
      </c>
      <c r="C36" s="28" t="n">
        <v>5</v>
      </c>
      <c r="D36" s="28" t="n">
        <v>5</v>
      </c>
      <c r="E36" s="28" t="n">
        <v>4</v>
      </c>
      <c r="F36" s="28" t="n">
        <v>4</v>
      </c>
      <c r="G36" s="28" t="n">
        <v>4</v>
      </c>
      <c r="H36" s="29" t="n">
        <f aca="false">(5*I36+4*J36+3*K36+2*L36+1*M36)/SUM(I36:M36)</f>
        <v>4.4</v>
      </c>
      <c r="I36" s="26" t="n">
        <f aca="false">COUNTIF(C36:G36,5)</f>
        <v>2</v>
      </c>
      <c r="J36" s="26" t="n">
        <f aca="false">COUNTIF(C36:G36,4)</f>
        <v>3</v>
      </c>
      <c r="K36" s="26" t="n">
        <f aca="false">COUNTIF(C36:G36,3)</f>
        <v>0</v>
      </c>
      <c r="L36" s="26" t="n">
        <f aca="false">COUNTIF(C36:G36,2)</f>
        <v>0</v>
      </c>
      <c r="M36" s="26" t="n">
        <f aca="false">COUNTIF(C36:G36,1)</f>
        <v>0</v>
      </c>
    </row>
    <row r="37" customFormat="false" ht="40.5" hidden="false" customHeight="true" outlineLevel="0" collapsed="false">
      <c r="A37" s="26" t="n">
        <v>22</v>
      </c>
      <c r="B37" s="27" t="s">
        <v>366</v>
      </c>
      <c r="C37" s="28" t="n">
        <v>5</v>
      </c>
      <c r="D37" s="28" t="n">
        <v>5</v>
      </c>
      <c r="E37" s="28" t="n">
        <v>4</v>
      </c>
      <c r="F37" s="28" t="n">
        <v>4</v>
      </c>
      <c r="G37" s="28" t="n">
        <v>4</v>
      </c>
      <c r="H37" s="29" t="n">
        <f aca="false">(5*I37+4*J37+3*K37+2*L37+1*M37)/SUM(I37:M37)</f>
        <v>4.4</v>
      </c>
      <c r="I37" s="26" t="n">
        <f aca="false">COUNTIF(C37:G37,5)</f>
        <v>2</v>
      </c>
      <c r="J37" s="26" t="n">
        <f aca="false">COUNTIF(C37:G37,4)</f>
        <v>3</v>
      </c>
      <c r="K37" s="26" t="n">
        <f aca="false">COUNTIF(C37:G37,3)</f>
        <v>0</v>
      </c>
      <c r="L37" s="26" t="n">
        <f aca="false">COUNTIF(C37:G37,2)</f>
        <v>0</v>
      </c>
      <c r="M37" s="26" t="n">
        <f aca="false">COUNTIF(C37:G37,1)</f>
        <v>0</v>
      </c>
    </row>
    <row r="38" customFormat="false" ht="15" hidden="false" customHeight="true" outlineLevel="0" collapsed="false">
      <c r="A38" s="51" t="s">
        <v>367</v>
      </c>
      <c r="B38" s="51"/>
      <c r="C38" s="51"/>
      <c r="D38" s="51"/>
      <c r="E38" s="51"/>
      <c r="F38" s="51"/>
      <c r="G38" s="51"/>
      <c r="H38" s="31" t="n">
        <f aca="false">AVERAGE(H32:H37)</f>
        <v>4.1</v>
      </c>
      <c r="I38" s="32"/>
      <c r="J38" s="32"/>
      <c r="K38" s="32"/>
      <c r="L38" s="32"/>
      <c r="M38" s="32"/>
    </row>
    <row r="40" customFormat="false" ht="15" hidden="false" customHeight="true" outlineLevel="0" collapsed="false">
      <c r="A40" s="33" t="s">
        <v>220</v>
      </c>
      <c r="B40" s="33"/>
      <c r="C40" s="33"/>
      <c r="D40" s="33"/>
      <c r="E40" s="33"/>
      <c r="F40" s="33"/>
      <c r="G40" s="33"/>
      <c r="H40" s="34" t="n">
        <f aca="false">(AVERAGE(H7:H9)+AVERAGE(H13:H16)+AVERAGE(H20:H28)+AVERAGE(H32:H37))/4</f>
        <v>4.15416666666667</v>
      </c>
      <c r="I40" s="35" t="n">
        <f aca="false">COUNTIF(C7:G9,5)+COUNTIF(C13:G16,5)+COUNTIF(C20:G28,5)+COUNTIF(C32:G37,5)</f>
        <v>39</v>
      </c>
      <c r="J40" s="35" t="n">
        <f aca="false">COUNTIF(C7:G9,4)+COUNTIF(C13:G16,4)+COUNTIF(C20:G28,4)+COUNTIF(C32:G37,4)</f>
        <v>58</v>
      </c>
      <c r="K40" s="35" t="n">
        <f aca="false">COUNTIF(C7:G9,3)+COUNTIF(C13:G16,3)+COUNTIF(C20:G28,3)+COUNTIF(C32:G37,3)</f>
        <v>13</v>
      </c>
      <c r="L40" s="35" t="n">
        <f aca="false">COUNTIF(C7:G9,2)+COUNTIF(C13:G16,2)+COUNTIF(C20:G28,2)+COUNTIF(C32:G37,2)</f>
        <v>0</v>
      </c>
      <c r="M40" s="35" t="n">
        <f aca="false">COUNTIF(C7:G9,1)+COUNTIF(C13:G16,1)+COUNTIF(C20:G28,1)+COUNTIF(C32:G37,1)</f>
        <v>0</v>
      </c>
    </row>
  </sheetData>
  <mergeCells count="12">
    <mergeCell ref="A1:M1"/>
    <mergeCell ref="A2:M2"/>
    <mergeCell ref="A3:M3"/>
    <mergeCell ref="A6:M6"/>
    <mergeCell ref="A10:G10"/>
    <mergeCell ref="A12:M12"/>
    <mergeCell ref="A17:G17"/>
    <mergeCell ref="A19:M19"/>
    <mergeCell ref="A29:G29"/>
    <mergeCell ref="A31:M31"/>
    <mergeCell ref="A38:G38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fals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Q13" activeCellId="0" sqref="Q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6.54"/>
    <col collapsed="false" customWidth="true" hidden="false" outlineLevel="0" max="12" min="12" style="1" width="8"/>
    <col collapsed="false" customWidth="true" hidden="false" outlineLevel="0" max="13" min="13" style="1" width="2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52" t="s">
        <v>368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customFormat="false" ht="15" hidden="false" customHeight="true" outlineLevel="0" collapsed="false">
      <c r="A3" s="53" t="s">
        <v>168</v>
      </c>
      <c r="B3" s="54" t="s">
        <v>369</v>
      </c>
      <c r="C3" s="54"/>
      <c r="D3" s="54" t="s">
        <v>370</v>
      </c>
      <c r="E3" s="54"/>
      <c r="F3" s="54" t="s">
        <v>371</v>
      </c>
      <c r="G3" s="54"/>
      <c r="H3" s="54" t="s">
        <v>372</v>
      </c>
      <c r="I3" s="54"/>
      <c r="J3" s="54" t="s">
        <v>373</v>
      </c>
      <c r="K3" s="54"/>
      <c r="L3" s="53" t="s">
        <v>174</v>
      </c>
      <c r="M3" s="53" t="s">
        <v>125</v>
      </c>
      <c r="O3" s="49" t="s">
        <v>312</v>
      </c>
    </row>
    <row r="4" customFormat="false" ht="15" hidden="false" customHeight="true" outlineLevel="0" collapsed="false">
      <c r="A4" s="53"/>
      <c r="B4" s="55" t="s">
        <v>272</v>
      </c>
      <c r="C4" s="55" t="s">
        <v>273</v>
      </c>
      <c r="D4" s="55" t="s">
        <v>272</v>
      </c>
      <c r="E4" s="55" t="s">
        <v>273</v>
      </c>
      <c r="F4" s="55" t="s">
        <v>272</v>
      </c>
      <c r="G4" s="55" t="s">
        <v>273</v>
      </c>
      <c r="H4" s="55" t="s">
        <v>272</v>
      </c>
      <c r="I4" s="55" t="s">
        <v>273</v>
      </c>
      <c r="J4" s="55" t="s">
        <v>272</v>
      </c>
      <c r="K4" s="55" t="s">
        <v>273</v>
      </c>
      <c r="L4" s="53"/>
      <c r="M4" s="53"/>
      <c r="O4" s="56" t="s">
        <v>318</v>
      </c>
      <c r="P4" s="56"/>
    </row>
    <row r="5" customFormat="false" ht="38.25" hidden="false" customHeight="true" outlineLevel="0" collapsed="false">
      <c r="A5" s="57" t="s">
        <v>339</v>
      </c>
      <c r="B5" s="58" t="n">
        <f aca="false">'WCAG - IT Experts'!I7</f>
        <v>1</v>
      </c>
      <c r="C5" s="59" t="n">
        <f aca="false">'WCAG - IT Experts'!I7/COUNT('WCAG - IT Experts'!$C7:$G7)</f>
        <v>0.2</v>
      </c>
      <c r="D5" s="58" t="n">
        <f aca="false">'WCAG - IT Experts'!J7</f>
        <v>2</v>
      </c>
      <c r="E5" s="59" t="n">
        <f aca="false">'WCAG - IT Experts'!J7/COUNT('WCAG - IT Experts'!$C7:$G7)</f>
        <v>0.4</v>
      </c>
      <c r="F5" s="58" t="n">
        <f aca="false">'WCAG - IT Experts'!K7</f>
        <v>2</v>
      </c>
      <c r="G5" s="59" t="n">
        <f aca="false">'WCAG - IT Experts'!K7/COUNT('WCAG - IT Experts'!$C7:$G7)</f>
        <v>0.4</v>
      </c>
      <c r="H5" s="58" t="n">
        <f aca="false">'WCAG - IT Experts'!L7</f>
        <v>0</v>
      </c>
      <c r="I5" s="59" t="n">
        <f aca="false">'WCAG - IT Experts'!L7/COUNT('WCAG - IT Experts'!$C7:$G7)</f>
        <v>0</v>
      </c>
      <c r="J5" s="58" t="n">
        <f aca="false">'WCAG - IT Experts'!M7</f>
        <v>0</v>
      </c>
      <c r="K5" s="59" t="n">
        <f aca="false">'WCAG - IT Experts'!M7/COUNT('WCAG - IT Experts'!$C7:$G7)</f>
        <v>0</v>
      </c>
      <c r="L5" s="60" t="n">
        <f aca="false">'WCAG - IT Experts'!H7</f>
        <v>3.8</v>
      </c>
      <c r="M5" s="58" t="str">
        <f aca="false">IF('WCAG - IT Experts'!H7&gt;='Scoring Rubrics'!$A$78,'Scoring Rubrics'!$C$78,IF('WCAG - IT Experts'!H7&gt;='Scoring Rubrics'!$A$79,'Scoring Rubrics'!$C$79,IF('WCAG - IT Experts'!H7&gt;='Scoring Rubrics'!$A$80,'Scoring Rubrics'!$C$80,IF('WCAG - IT Experts'!H7&gt;='Scoring Rubrics'!$A$81,'Scoring Rubrics'!$C$81,'Scoring Rubrics'!$C$82))))</f>
        <v>Accessible</v>
      </c>
      <c r="O5" s="56"/>
      <c r="P5" s="56"/>
    </row>
    <row r="6" customFormat="false" ht="38.25" hidden="false" customHeight="true" outlineLevel="0" collapsed="false">
      <c r="A6" s="57" t="s">
        <v>340</v>
      </c>
      <c r="B6" s="58" t="n">
        <f aca="false">'WCAG - IT Experts'!I8</f>
        <v>1</v>
      </c>
      <c r="C6" s="59" t="n">
        <f aca="false">'WCAG - IT Experts'!I8/COUNT('WCAG - IT Experts'!$C8:$G8)</f>
        <v>0.2</v>
      </c>
      <c r="D6" s="58" t="n">
        <f aca="false">'WCAG - IT Experts'!J8</f>
        <v>4</v>
      </c>
      <c r="E6" s="59" t="n">
        <f aca="false">'WCAG - IT Experts'!J8/COUNT('WCAG - IT Experts'!$C8:$G8)</f>
        <v>0.8</v>
      </c>
      <c r="F6" s="58" t="n">
        <f aca="false">'WCAG - IT Experts'!K8</f>
        <v>0</v>
      </c>
      <c r="G6" s="59" t="n">
        <f aca="false">'WCAG - IT Experts'!K8/COUNT('WCAG - IT Experts'!$C8:$G8)</f>
        <v>0</v>
      </c>
      <c r="H6" s="58" t="n">
        <f aca="false">'WCAG - IT Experts'!L8</f>
        <v>0</v>
      </c>
      <c r="I6" s="59" t="n">
        <f aca="false">'WCAG - IT Experts'!L8/COUNT('WCAG - IT Experts'!$C8:$G8)</f>
        <v>0</v>
      </c>
      <c r="J6" s="58" t="n">
        <f aca="false">'WCAG - IT Experts'!M8</f>
        <v>0</v>
      </c>
      <c r="K6" s="59" t="n">
        <f aca="false">'WCAG - IT Experts'!M8/COUNT('WCAG - IT Experts'!$C8:$G8)</f>
        <v>0</v>
      </c>
      <c r="L6" s="60" t="n">
        <f aca="false">'WCAG - IT Experts'!H8</f>
        <v>4.2</v>
      </c>
      <c r="M6" s="58" t="str">
        <f aca="false">IF('WCAG - IT Experts'!H8&gt;='Scoring Rubrics'!$A$78,'Scoring Rubrics'!$C$78,IF('WCAG - IT Experts'!H8&gt;='Scoring Rubrics'!$A$79,'Scoring Rubrics'!$C$79,IF('WCAG - IT Experts'!H8&gt;='Scoring Rubrics'!$A$80,'Scoring Rubrics'!$C$80,IF('WCAG - IT Experts'!H8&gt;='Scoring Rubrics'!$A$81,'Scoring Rubrics'!$C$81,'Scoring Rubrics'!$C$82))))</f>
        <v>Accessible</v>
      </c>
      <c r="O6" s="56"/>
      <c r="P6" s="56"/>
    </row>
    <row r="7" customFormat="false" ht="38.25" hidden="false" customHeight="true" outlineLevel="0" collapsed="false">
      <c r="A7" s="57" t="s">
        <v>341</v>
      </c>
      <c r="B7" s="58" t="n">
        <f aca="false">'WCAG - IT Experts'!I9</f>
        <v>2</v>
      </c>
      <c r="C7" s="59" t="n">
        <f aca="false">'WCAG - IT Experts'!I9/COUNT('WCAG - IT Experts'!$C9:$G9)</f>
        <v>0.4</v>
      </c>
      <c r="D7" s="58" t="n">
        <f aca="false">'WCAG - IT Experts'!J9</f>
        <v>3</v>
      </c>
      <c r="E7" s="59" t="n">
        <f aca="false">'WCAG - IT Experts'!J9/COUNT('WCAG - IT Experts'!$C9:$G9)</f>
        <v>0.6</v>
      </c>
      <c r="F7" s="58" t="n">
        <f aca="false">'WCAG - IT Experts'!K9</f>
        <v>0</v>
      </c>
      <c r="G7" s="59" t="n">
        <f aca="false">'WCAG - IT Experts'!K9/COUNT('WCAG - IT Experts'!$C9:$G9)</f>
        <v>0</v>
      </c>
      <c r="H7" s="58" t="n">
        <f aca="false">'WCAG - IT Experts'!L9</f>
        <v>0</v>
      </c>
      <c r="I7" s="59" t="n">
        <f aca="false">'WCAG - IT Experts'!L9/COUNT('WCAG - IT Experts'!$C9:$G9)</f>
        <v>0</v>
      </c>
      <c r="J7" s="58" t="n">
        <f aca="false">'WCAG - IT Experts'!M9</f>
        <v>0</v>
      </c>
      <c r="K7" s="59" t="n">
        <f aca="false">'WCAG - IT Experts'!M9/COUNT('WCAG - IT Experts'!$C9:$G9)</f>
        <v>0</v>
      </c>
      <c r="L7" s="60" t="n">
        <f aca="false">'WCAG - IT Experts'!H9</f>
        <v>4.4</v>
      </c>
      <c r="M7" s="58" t="str">
        <f aca="false">IF('WCAG - IT Experts'!H9&gt;='Scoring Rubrics'!$A$78,'Scoring Rubrics'!$C$78,IF('WCAG - IT Experts'!H9&gt;='Scoring Rubrics'!$A$79,'Scoring Rubrics'!$C$79,IF('WCAG - IT Experts'!H9&gt;='Scoring Rubrics'!$A$80,'Scoring Rubrics'!$C$80,IF('WCAG - IT Experts'!H9&gt;='Scoring Rubrics'!$A$81,'Scoring Rubrics'!$C$81,'Scoring Rubrics'!$C$82))))</f>
        <v>Highly Accessible</v>
      </c>
      <c r="O7" s="56"/>
      <c r="P7" s="56"/>
    </row>
    <row r="8" customFormat="false" ht="15" hidden="false" customHeight="true" outlineLevel="0" collapsed="false">
      <c r="A8" s="61" t="s">
        <v>274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 t="n">
        <f aca="false">'WCAG - IT Experts'!H10</f>
        <v>4.13333333333333</v>
      </c>
      <c r="M8" s="63" t="str">
        <f aca="false">IF('WCAG - IT Experts'!H10&gt;='Scoring Rubrics'!$A$78,'Scoring Rubrics'!$C$78,IF('WCAG - IT Experts'!H10&gt;='Scoring Rubrics'!$A$79,'Scoring Rubrics'!$C$79,IF('WCAG - IT Experts'!H10&gt;='Scoring Rubrics'!$A$80,'Scoring Rubrics'!$C$80,IF('WCAG - IT Experts'!H10&gt;='Scoring Rubrics'!$A$81,'Scoring Rubrics'!$C$81,'Scoring Rubrics'!$C$82))))</f>
        <v>Accessible</v>
      </c>
      <c r="O8" s="56"/>
      <c r="P8" s="56"/>
    </row>
    <row r="9" customFormat="false" ht="25.5" hidden="false" customHeight="true" outlineLevel="0" collapsed="false">
      <c r="A9" s="64" t="s">
        <v>374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O9" s="56"/>
      <c r="P9" s="56"/>
    </row>
    <row r="12" customFormat="false" ht="15" hidden="false" customHeight="true" outlineLevel="0" collapsed="false">
      <c r="A12" s="2" t="s">
        <v>276</v>
      </c>
    </row>
    <row r="13" customFormat="false" ht="15" hidden="false" customHeight="true" outlineLevel="0" collapsed="false">
      <c r="A13" s="52" t="s">
        <v>375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customFormat="false" ht="15" hidden="false" customHeight="true" outlineLevel="0" collapsed="false">
      <c r="A14" s="53" t="s">
        <v>168</v>
      </c>
      <c r="B14" s="54" t="s">
        <v>369</v>
      </c>
      <c r="C14" s="54"/>
      <c r="D14" s="54" t="s">
        <v>370</v>
      </c>
      <c r="E14" s="54"/>
      <c r="F14" s="54" t="s">
        <v>371</v>
      </c>
      <c r="G14" s="54"/>
      <c r="H14" s="54" t="s">
        <v>372</v>
      </c>
      <c r="I14" s="54"/>
      <c r="J14" s="54" t="s">
        <v>373</v>
      </c>
      <c r="K14" s="54"/>
      <c r="L14" s="53" t="s">
        <v>174</v>
      </c>
      <c r="M14" s="53" t="s">
        <v>125</v>
      </c>
    </row>
    <row r="15" customFormat="false" ht="15" hidden="false" customHeight="true" outlineLevel="0" collapsed="false">
      <c r="A15" s="53"/>
      <c r="B15" s="55" t="s">
        <v>272</v>
      </c>
      <c r="C15" s="55" t="s">
        <v>273</v>
      </c>
      <c r="D15" s="55" t="s">
        <v>272</v>
      </c>
      <c r="E15" s="55" t="s">
        <v>273</v>
      </c>
      <c r="F15" s="55" t="s">
        <v>272</v>
      </c>
      <c r="G15" s="55" t="s">
        <v>273</v>
      </c>
      <c r="H15" s="55" t="s">
        <v>272</v>
      </c>
      <c r="I15" s="55" t="s">
        <v>273</v>
      </c>
      <c r="J15" s="55" t="s">
        <v>272</v>
      </c>
      <c r="K15" s="55" t="s">
        <v>273</v>
      </c>
      <c r="L15" s="53"/>
      <c r="M15" s="53"/>
    </row>
    <row r="16" customFormat="false" ht="38.25" hidden="false" customHeight="true" outlineLevel="0" collapsed="false">
      <c r="A16" s="57" t="s">
        <v>344</v>
      </c>
      <c r="B16" s="58" t="n">
        <f aca="false">'WCAG - IT Experts'!I13</f>
        <v>1</v>
      </c>
      <c r="C16" s="59" t="n">
        <f aca="false">'WCAG - IT Experts'!I13/COUNT('WCAG - IT Experts'!$C13:$G13)</f>
        <v>0.2</v>
      </c>
      <c r="D16" s="58" t="n">
        <f aca="false">'WCAG - IT Experts'!J13</f>
        <v>4</v>
      </c>
      <c r="E16" s="59" t="n">
        <f aca="false">'WCAG - IT Experts'!J13/COUNT('WCAG - IT Experts'!$C13:$G13)</f>
        <v>0.8</v>
      </c>
      <c r="F16" s="58" t="n">
        <f aca="false">'WCAG - IT Experts'!K13</f>
        <v>0</v>
      </c>
      <c r="G16" s="59" t="n">
        <f aca="false">'WCAG - IT Experts'!K13/COUNT('WCAG - IT Experts'!$C13:$G13)</f>
        <v>0</v>
      </c>
      <c r="H16" s="58" t="n">
        <f aca="false">'WCAG - IT Experts'!L13</f>
        <v>0</v>
      </c>
      <c r="I16" s="59" t="n">
        <f aca="false">'WCAG - IT Experts'!L13/COUNT('WCAG - IT Experts'!$C13:$G13)</f>
        <v>0</v>
      </c>
      <c r="J16" s="58" t="n">
        <f aca="false">'WCAG - IT Experts'!M13</f>
        <v>0</v>
      </c>
      <c r="K16" s="59" t="n">
        <f aca="false">'WCAG - IT Experts'!M13/COUNT('WCAG - IT Experts'!$C13:$G13)</f>
        <v>0</v>
      </c>
      <c r="L16" s="60" t="n">
        <f aca="false">'WCAG - IT Experts'!H13</f>
        <v>4.2</v>
      </c>
      <c r="M16" s="58" t="str">
        <f aca="false">IF('WCAG - IT Experts'!H13&gt;='Scoring Rubrics'!$A$78,'Scoring Rubrics'!$C$78,IF('WCAG - IT Experts'!H13&gt;='Scoring Rubrics'!$A$79,'Scoring Rubrics'!$C$79,IF('WCAG - IT Experts'!H13&gt;='Scoring Rubrics'!$A$80,'Scoring Rubrics'!$C$80,IF('WCAG - IT Experts'!H13&gt;='Scoring Rubrics'!$A$81,'Scoring Rubrics'!$C$81,'Scoring Rubrics'!$C$82))))</f>
        <v>Accessible</v>
      </c>
    </row>
    <row r="17" customFormat="false" ht="38.25" hidden="false" customHeight="true" outlineLevel="0" collapsed="false">
      <c r="A17" s="57" t="s">
        <v>345</v>
      </c>
      <c r="B17" s="58" t="n">
        <f aca="false">'WCAG - IT Experts'!I14</f>
        <v>1</v>
      </c>
      <c r="C17" s="59" t="n">
        <f aca="false">'WCAG - IT Experts'!I14/COUNT('WCAG - IT Experts'!$C14:$G14)</f>
        <v>0.2</v>
      </c>
      <c r="D17" s="58" t="n">
        <f aca="false">'WCAG - IT Experts'!J14</f>
        <v>0</v>
      </c>
      <c r="E17" s="59" t="n">
        <f aca="false">'WCAG - IT Experts'!J14/COUNT('WCAG - IT Experts'!$C14:$G14)</f>
        <v>0</v>
      </c>
      <c r="F17" s="58" t="n">
        <f aca="false">'WCAG - IT Experts'!K14</f>
        <v>4</v>
      </c>
      <c r="G17" s="59" t="n">
        <f aca="false">'WCAG - IT Experts'!K14/COUNT('WCAG - IT Experts'!$C14:$G14)</f>
        <v>0.8</v>
      </c>
      <c r="H17" s="58" t="n">
        <f aca="false">'WCAG - IT Experts'!L14</f>
        <v>0</v>
      </c>
      <c r="I17" s="59" t="n">
        <f aca="false">'WCAG - IT Experts'!L14/COUNT('WCAG - IT Experts'!$C14:$G14)</f>
        <v>0</v>
      </c>
      <c r="J17" s="58" t="n">
        <f aca="false">'WCAG - IT Experts'!M14</f>
        <v>0</v>
      </c>
      <c r="K17" s="59" t="n">
        <f aca="false">'WCAG - IT Experts'!M14/COUNT('WCAG - IT Experts'!$C14:$G14)</f>
        <v>0</v>
      </c>
      <c r="L17" s="60" t="n">
        <f aca="false">'WCAG - IT Experts'!H14</f>
        <v>3.4</v>
      </c>
      <c r="M17" s="58" t="str">
        <f aca="false">IF('WCAG - IT Experts'!H14&gt;='Scoring Rubrics'!$A$78,'Scoring Rubrics'!$C$78,IF('WCAG - IT Experts'!H14&gt;='Scoring Rubrics'!$A$79,'Scoring Rubrics'!$C$79,IF('WCAG - IT Experts'!H14&gt;='Scoring Rubrics'!$A$80,'Scoring Rubrics'!$C$80,IF('WCAG - IT Experts'!H14&gt;='Scoring Rubrics'!$A$81,'Scoring Rubrics'!$C$81,'Scoring Rubrics'!$C$82))))</f>
        <v>Moderately Accessible</v>
      </c>
    </row>
    <row r="18" customFormat="false" ht="38.25" hidden="false" customHeight="true" outlineLevel="0" collapsed="false">
      <c r="A18" s="57" t="s">
        <v>346</v>
      </c>
      <c r="B18" s="58" t="n">
        <f aca="false">'WCAG - IT Experts'!I15</f>
        <v>0</v>
      </c>
      <c r="C18" s="59" t="n">
        <f aca="false">'WCAG - IT Experts'!I15/COUNT('WCAG - IT Experts'!$C15:$G15)</f>
        <v>0</v>
      </c>
      <c r="D18" s="58" t="n">
        <f aca="false">'WCAG - IT Experts'!J15</f>
        <v>5</v>
      </c>
      <c r="E18" s="59" t="n">
        <f aca="false">'WCAG - IT Experts'!J15/COUNT('WCAG - IT Experts'!$C15:$G15)</f>
        <v>1</v>
      </c>
      <c r="F18" s="58" t="n">
        <f aca="false">'WCAG - IT Experts'!K15</f>
        <v>0</v>
      </c>
      <c r="G18" s="59" t="n">
        <f aca="false">'WCAG - IT Experts'!K15/COUNT('WCAG - IT Experts'!$C15:$G15)</f>
        <v>0</v>
      </c>
      <c r="H18" s="58" t="n">
        <f aca="false">'WCAG - IT Experts'!L15</f>
        <v>0</v>
      </c>
      <c r="I18" s="59" t="n">
        <f aca="false">'WCAG - IT Experts'!L15/COUNT('WCAG - IT Experts'!$C15:$G15)</f>
        <v>0</v>
      </c>
      <c r="J18" s="58" t="n">
        <f aca="false">'WCAG - IT Experts'!M15</f>
        <v>0</v>
      </c>
      <c r="K18" s="59" t="n">
        <f aca="false">'WCAG - IT Experts'!M15/COUNT('WCAG - IT Experts'!$C15:$G15)</f>
        <v>0</v>
      </c>
      <c r="L18" s="60" t="n">
        <f aca="false">'WCAG - IT Experts'!H15</f>
        <v>4</v>
      </c>
      <c r="M18" s="58" t="str">
        <f aca="false">IF('WCAG - IT Experts'!H15&gt;='Scoring Rubrics'!$A$78,'Scoring Rubrics'!$C$78,IF('WCAG - IT Experts'!H15&gt;='Scoring Rubrics'!$A$79,'Scoring Rubrics'!$C$79,IF('WCAG - IT Experts'!H15&gt;='Scoring Rubrics'!$A$80,'Scoring Rubrics'!$C$80,IF('WCAG - IT Experts'!H15&gt;='Scoring Rubrics'!$A$81,'Scoring Rubrics'!$C$81,'Scoring Rubrics'!$C$82))))</f>
        <v>Accessible</v>
      </c>
    </row>
    <row r="19" customFormat="false" ht="38.25" hidden="false" customHeight="true" outlineLevel="0" collapsed="false">
      <c r="A19" s="57" t="s">
        <v>347</v>
      </c>
      <c r="B19" s="58" t="n">
        <f aca="false">'WCAG - IT Experts'!I16</f>
        <v>0</v>
      </c>
      <c r="C19" s="59" t="n">
        <f aca="false">'WCAG - IT Experts'!I16/COUNT('WCAG - IT Experts'!$C16:$G16)</f>
        <v>0</v>
      </c>
      <c r="D19" s="58" t="n">
        <f aca="false">'WCAG - IT Experts'!J16</f>
        <v>4</v>
      </c>
      <c r="E19" s="59" t="n">
        <f aca="false">'WCAG - IT Experts'!J16/COUNT('WCAG - IT Experts'!$C16:$G16)</f>
        <v>0.8</v>
      </c>
      <c r="F19" s="58" t="n">
        <f aca="false">'WCAG - IT Experts'!K16</f>
        <v>1</v>
      </c>
      <c r="G19" s="59" t="n">
        <f aca="false">'WCAG - IT Experts'!K16/COUNT('WCAG - IT Experts'!$C16:$G16)</f>
        <v>0.2</v>
      </c>
      <c r="H19" s="58" t="n">
        <f aca="false">'WCAG - IT Experts'!L16</f>
        <v>0</v>
      </c>
      <c r="I19" s="59" t="n">
        <f aca="false">'WCAG - IT Experts'!L16/COUNT('WCAG - IT Experts'!$C16:$G16)</f>
        <v>0</v>
      </c>
      <c r="J19" s="58" t="n">
        <f aca="false">'WCAG - IT Experts'!M16</f>
        <v>0</v>
      </c>
      <c r="K19" s="59" t="n">
        <f aca="false">'WCAG - IT Experts'!M16/COUNT('WCAG - IT Experts'!$C16:$G16)</f>
        <v>0</v>
      </c>
      <c r="L19" s="60" t="n">
        <f aca="false">'WCAG - IT Experts'!H16</f>
        <v>3.8</v>
      </c>
      <c r="M19" s="58" t="str">
        <f aca="false">IF('WCAG - IT Experts'!H16&gt;='Scoring Rubrics'!$A$78,'Scoring Rubrics'!$C$78,IF('WCAG - IT Experts'!H16&gt;='Scoring Rubrics'!$A$79,'Scoring Rubrics'!$C$79,IF('WCAG - IT Experts'!H16&gt;='Scoring Rubrics'!$A$80,'Scoring Rubrics'!$C$80,IF('WCAG - IT Experts'!H16&gt;='Scoring Rubrics'!$A$81,'Scoring Rubrics'!$C$81,'Scoring Rubrics'!$C$82))))</f>
        <v>Accessible</v>
      </c>
    </row>
    <row r="20" customFormat="false" ht="15" hidden="false" customHeight="true" outlineLevel="0" collapsed="false">
      <c r="A20" s="61" t="s">
        <v>274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2" t="n">
        <f aca="false">'WCAG - IT Experts'!H17</f>
        <v>3.85</v>
      </c>
      <c r="M20" s="63" t="str">
        <f aca="false">IF('WCAG - IT Experts'!H17&gt;='Scoring Rubrics'!$A$78,'Scoring Rubrics'!$C$78,IF('WCAG - IT Experts'!H17&gt;='Scoring Rubrics'!$A$79,'Scoring Rubrics'!$C$79,IF('WCAG - IT Experts'!H17&gt;='Scoring Rubrics'!$A$80,'Scoring Rubrics'!$C$80,IF('WCAG - IT Experts'!H17&gt;='Scoring Rubrics'!$A$81,'Scoring Rubrics'!$C$81,'Scoring Rubrics'!$C$82))))</f>
        <v>Accessible</v>
      </c>
    </row>
    <row r="21" customFormat="false" ht="25.5" hidden="false" customHeight="true" outlineLevel="0" collapsed="false">
      <c r="A21" s="64" t="s">
        <v>374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</row>
    <row r="24" customFormat="false" ht="15" hidden="false" customHeight="true" outlineLevel="0" collapsed="false">
      <c r="A24" s="2" t="s">
        <v>279</v>
      </c>
    </row>
    <row r="25" customFormat="false" ht="15" hidden="false" customHeight="true" outlineLevel="0" collapsed="false">
      <c r="A25" s="52" t="s">
        <v>376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</row>
    <row r="26" customFormat="false" ht="15" hidden="false" customHeight="true" outlineLevel="0" collapsed="false">
      <c r="A26" s="53" t="s">
        <v>168</v>
      </c>
      <c r="B26" s="54" t="s">
        <v>369</v>
      </c>
      <c r="C26" s="54"/>
      <c r="D26" s="54" t="s">
        <v>370</v>
      </c>
      <c r="E26" s="54"/>
      <c r="F26" s="54" t="s">
        <v>371</v>
      </c>
      <c r="G26" s="54"/>
      <c r="H26" s="54" t="s">
        <v>372</v>
      </c>
      <c r="I26" s="54"/>
      <c r="J26" s="54" t="s">
        <v>373</v>
      </c>
      <c r="K26" s="54"/>
      <c r="L26" s="53" t="s">
        <v>174</v>
      </c>
      <c r="M26" s="53" t="s">
        <v>125</v>
      </c>
    </row>
    <row r="27" customFormat="false" ht="15" hidden="false" customHeight="true" outlineLevel="0" collapsed="false">
      <c r="A27" s="53"/>
      <c r="B27" s="55" t="s">
        <v>272</v>
      </c>
      <c r="C27" s="55" t="s">
        <v>273</v>
      </c>
      <c r="D27" s="55" t="s">
        <v>272</v>
      </c>
      <c r="E27" s="55" t="s">
        <v>273</v>
      </c>
      <c r="F27" s="55" t="s">
        <v>272</v>
      </c>
      <c r="G27" s="55" t="s">
        <v>273</v>
      </c>
      <c r="H27" s="55" t="s">
        <v>272</v>
      </c>
      <c r="I27" s="55" t="s">
        <v>273</v>
      </c>
      <c r="J27" s="55" t="s">
        <v>272</v>
      </c>
      <c r="K27" s="55" t="s">
        <v>273</v>
      </c>
      <c r="L27" s="53"/>
      <c r="M27" s="53"/>
    </row>
    <row r="28" customFormat="false" ht="38.25" hidden="false" customHeight="true" outlineLevel="0" collapsed="false">
      <c r="A28" s="57" t="s">
        <v>350</v>
      </c>
      <c r="B28" s="58" t="n">
        <f aca="false">'WCAG - IT Experts'!I20</f>
        <v>4</v>
      </c>
      <c r="C28" s="59" t="n">
        <f aca="false">'WCAG - IT Experts'!I20/COUNT('WCAG - IT Experts'!$C20:$G20)</f>
        <v>0.8</v>
      </c>
      <c r="D28" s="58" t="n">
        <f aca="false">'WCAG - IT Experts'!J20</f>
        <v>1</v>
      </c>
      <c r="E28" s="59" t="n">
        <f aca="false">'WCAG - IT Experts'!J20/COUNT('WCAG - IT Experts'!$C20:$G20)</f>
        <v>0.2</v>
      </c>
      <c r="F28" s="58" t="n">
        <f aca="false">'WCAG - IT Experts'!K20</f>
        <v>0</v>
      </c>
      <c r="G28" s="59" t="n">
        <f aca="false">'WCAG - IT Experts'!K20/COUNT('WCAG - IT Experts'!$C20:$G20)</f>
        <v>0</v>
      </c>
      <c r="H28" s="58" t="n">
        <f aca="false">'WCAG - IT Experts'!L20</f>
        <v>0</v>
      </c>
      <c r="I28" s="59" t="n">
        <f aca="false">'WCAG - IT Experts'!L20/COUNT('WCAG - IT Experts'!$C20:$G20)</f>
        <v>0</v>
      </c>
      <c r="J28" s="58" t="n">
        <f aca="false">'WCAG - IT Experts'!M20</f>
        <v>0</v>
      </c>
      <c r="K28" s="59" t="n">
        <f aca="false">'WCAG - IT Experts'!M20/COUNT('WCAG - IT Experts'!$C20:$G20)</f>
        <v>0</v>
      </c>
      <c r="L28" s="60" t="n">
        <f aca="false">'WCAG - IT Experts'!H20</f>
        <v>4.8</v>
      </c>
      <c r="M28" s="58" t="str">
        <f aca="false">IF('WCAG - IT Experts'!H20&gt;='Scoring Rubrics'!$A$78,'Scoring Rubrics'!$C$78,IF('WCAG - IT Experts'!H20&gt;='Scoring Rubrics'!$A$79,'Scoring Rubrics'!$C$79,IF('WCAG - IT Experts'!H20&gt;='Scoring Rubrics'!$A$80,'Scoring Rubrics'!$C$80,IF('WCAG - IT Experts'!H20&gt;='Scoring Rubrics'!$A$81,'Scoring Rubrics'!$C$81,'Scoring Rubrics'!$C$82))))</f>
        <v>Highly Accessible</v>
      </c>
    </row>
    <row r="29" customFormat="false" ht="25.5" hidden="false" customHeight="true" outlineLevel="0" collapsed="false">
      <c r="A29" s="57" t="s">
        <v>351</v>
      </c>
      <c r="B29" s="58" t="n">
        <f aca="false">'WCAG - IT Experts'!I21</f>
        <v>3</v>
      </c>
      <c r="C29" s="59" t="n">
        <f aca="false">'WCAG - IT Experts'!I21/COUNT('WCAG - IT Experts'!$C21:$G21)</f>
        <v>0.6</v>
      </c>
      <c r="D29" s="58" t="n">
        <f aca="false">'WCAG - IT Experts'!J21</f>
        <v>2</v>
      </c>
      <c r="E29" s="59" t="n">
        <f aca="false">'WCAG - IT Experts'!J21/COUNT('WCAG - IT Experts'!$C21:$G21)</f>
        <v>0.4</v>
      </c>
      <c r="F29" s="58" t="n">
        <f aca="false">'WCAG - IT Experts'!K21</f>
        <v>0</v>
      </c>
      <c r="G29" s="59" t="n">
        <f aca="false">'WCAG - IT Experts'!K21/COUNT('WCAG - IT Experts'!$C21:$G21)</f>
        <v>0</v>
      </c>
      <c r="H29" s="58" t="n">
        <f aca="false">'WCAG - IT Experts'!L21</f>
        <v>0</v>
      </c>
      <c r="I29" s="59" t="n">
        <f aca="false">'WCAG - IT Experts'!L21/COUNT('WCAG - IT Experts'!$C21:$G21)</f>
        <v>0</v>
      </c>
      <c r="J29" s="58" t="n">
        <f aca="false">'WCAG - IT Experts'!M21</f>
        <v>0</v>
      </c>
      <c r="K29" s="59" t="n">
        <f aca="false">'WCAG - IT Experts'!M21/COUNT('WCAG - IT Experts'!$C21:$G21)</f>
        <v>0</v>
      </c>
      <c r="L29" s="60" t="n">
        <f aca="false">'WCAG - IT Experts'!H21</f>
        <v>4.6</v>
      </c>
      <c r="M29" s="58" t="str">
        <f aca="false">IF('WCAG - IT Experts'!H21&gt;='Scoring Rubrics'!$A$78,'Scoring Rubrics'!$C$78,IF('WCAG - IT Experts'!H21&gt;='Scoring Rubrics'!$A$79,'Scoring Rubrics'!$C$79,IF('WCAG - IT Experts'!H21&gt;='Scoring Rubrics'!$A$80,'Scoring Rubrics'!$C$80,IF('WCAG - IT Experts'!H21&gt;='Scoring Rubrics'!$A$81,'Scoring Rubrics'!$C$81,'Scoring Rubrics'!$C$82))))</f>
        <v>Highly Accessible</v>
      </c>
    </row>
    <row r="30" customFormat="false" ht="38.25" hidden="false" customHeight="true" outlineLevel="0" collapsed="false">
      <c r="A30" s="57" t="s">
        <v>352</v>
      </c>
      <c r="B30" s="58" t="n">
        <f aca="false">'WCAG - IT Experts'!I22</f>
        <v>4</v>
      </c>
      <c r="C30" s="59" t="n">
        <f aca="false">'WCAG - IT Experts'!I22/COUNT('WCAG - IT Experts'!$C22:$G22)</f>
        <v>0.8</v>
      </c>
      <c r="D30" s="58" t="n">
        <f aca="false">'WCAG - IT Experts'!J22</f>
        <v>1</v>
      </c>
      <c r="E30" s="59" t="n">
        <f aca="false">'WCAG - IT Experts'!J22/COUNT('WCAG - IT Experts'!$C22:$G22)</f>
        <v>0.2</v>
      </c>
      <c r="F30" s="58" t="n">
        <f aca="false">'WCAG - IT Experts'!K22</f>
        <v>0</v>
      </c>
      <c r="G30" s="59" t="n">
        <f aca="false">'WCAG - IT Experts'!K22/COUNT('WCAG - IT Experts'!$C22:$G22)</f>
        <v>0</v>
      </c>
      <c r="H30" s="58" t="n">
        <f aca="false">'WCAG - IT Experts'!L22</f>
        <v>0</v>
      </c>
      <c r="I30" s="59" t="n">
        <f aca="false">'WCAG - IT Experts'!L22/COUNT('WCAG - IT Experts'!$C22:$G22)</f>
        <v>0</v>
      </c>
      <c r="J30" s="58" t="n">
        <f aca="false">'WCAG - IT Experts'!M22</f>
        <v>0</v>
      </c>
      <c r="K30" s="59" t="n">
        <f aca="false">'WCAG - IT Experts'!M22/COUNT('WCAG - IT Experts'!$C22:$G22)</f>
        <v>0</v>
      </c>
      <c r="L30" s="60" t="n">
        <f aca="false">'WCAG - IT Experts'!H22</f>
        <v>4.8</v>
      </c>
      <c r="M30" s="58" t="str">
        <f aca="false">IF('WCAG - IT Experts'!H22&gt;='Scoring Rubrics'!$A$78,'Scoring Rubrics'!$C$78,IF('WCAG - IT Experts'!H22&gt;='Scoring Rubrics'!$A$79,'Scoring Rubrics'!$C$79,IF('WCAG - IT Experts'!H22&gt;='Scoring Rubrics'!$A$80,'Scoring Rubrics'!$C$80,IF('WCAG - IT Experts'!H22&gt;='Scoring Rubrics'!$A$81,'Scoring Rubrics'!$C$81,'Scoring Rubrics'!$C$82))))</f>
        <v>Highly Accessible</v>
      </c>
    </row>
    <row r="31" customFormat="false" ht="25.5" hidden="false" customHeight="true" outlineLevel="0" collapsed="false">
      <c r="A31" s="57" t="s">
        <v>353</v>
      </c>
      <c r="B31" s="58" t="n">
        <f aca="false">'WCAG - IT Experts'!I23</f>
        <v>3</v>
      </c>
      <c r="C31" s="59" t="n">
        <f aca="false">'WCAG - IT Experts'!I23/COUNT('WCAG - IT Experts'!$C23:$G23)</f>
        <v>0.6</v>
      </c>
      <c r="D31" s="58" t="n">
        <f aca="false">'WCAG - IT Experts'!J23</f>
        <v>0</v>
      </c>
      <c r="E31" s="59" t="n">
        <f aca="false">'WCAG - IT Experts'!J23/COUNT('WCAG - IT Experts'!$C23:$G23)</f>
        <v>0</v>
      </c>
      <c r="F31" s="58" t="n">
        <f aca="false">'WCAG - IT Experts'!K23</f>
        <v>2</v>
      </c>
      <c r="G31" s="59" t="n">
        <f aca="false">'WCAG - IT Experts'!K23/COUNT('WCAG - IT Experts'!$C23:$G23)</f>
        <v>0.4</v>
      </c>
      <c r="H31" s="58" t="n">
        <f aca="false">'WCAG - IT Experts'!L23</f>
        <v>0</v>
      </c>
      <c r="I31" s="59" t="n">
        <f aca="false">'WCAG - IT Experts'!L23/COUNT('WCAG - IT Experts'!$C23:$G23)</f>
        <v>0</v>
      </c>
      <c r="J31" s="58" t="n">
        <f aca="false">'WCAG - IT Experts'!M23</f>
        <v>0</v>
      </c>
      <c r="K31" s="59" t="n">
        <f aca="false">'WCAG - IT Experts'!M23/COUNT('WCAG - IT Experts'!$C23:$G23)</f>
        <v>0</v>
      </c>
      <c r="L31" s="60" t="n">
        <f aca="false">'WCAG - IT Experts'!H23</f>
        <v>4.2</v>
      </c>
      <c r="M31" s="58" t="str">
        <f aca="false">IF('WCAG - IT Experts'!H23&gt;='Scoring Rubrics'!$A$78,'Scoring Rubrics'!$C$78,IF('WCAG - IT Experts'!H23&gt;='Scoring Rubrics'!$A$79,'Scoring Rubrics'!$C$79,IF('WCAG - IT Experts'!H23&gt;='Scoring Rubrics'!$A$80,'Scoring Rubrics'!$C$80,IF('WCAG - IT Experts'!H23&gt;='Scoring Rubrics'!$A$81,'Scoring Rubrics'!$C$81,'Scoring Rubrics'!$C$82))))</f>
        <v>Accessible</v>
      </c>
    </row>
    <row r="32" customFormat="false" ht="25.5" hidden="false" customHeight="true" outlineLevel="0" collapsed="false">
      <c r="A32" s="57" t="s">
        <v>354</v>
      </c>
      <c r="B32" s="58" t="n">
        <f aca="false">'WCAG - IT Experts'!I24</f>
        <v>1</v>
      </c>
      <c r="C32" s="59" t="n">
        <f aca="false">'WCAG - IT Experts'!I24/COUNT('WCAG - IT Experts'!$C24:$G24)</f>
        <v>0.2</v>
      </c>
      <c r="D32" s="58" t="n">
        <f aca="false">'WCAG - IT Experts'!J24</f>
        <v>3</v>
      </c>
      <c r="E32" s="59" t="n">
        <f aca="false">'WCAG - IT Experts'!J24/COUNT('WCAG - IT Experts'!$C24:$G24)</f>
        <v>0.6</v>
      </c>
      <c r="F32" s="58" t="n">
        <f aca="false">'WCAG - IT Experts'!K24</f>
        <v>1</v>
      </c>
      <c r="G32" s="59" t="n">
        <f aca="false">'WCAG - IT Experts'!K24/COUNT('WCAG - IT Experts'!$C24:$G24)</f>
        <v>0.2</v>
      </c>
      <c r="H32" s="58" t="n">
        <f aca="false">'WCAG - IT Experts'!L24</f>
        <v>0</v>
      </c>
      <c r="I32" s="59" t="n">
        <f aca="false">'WCAG - IT Experts'!L24/COUNT('WCAG - IT Experts'!$C24:$G24)</f>
        <v>0</v>
      </c>
      <c r="J32" s="58" t="n">
        <f aca="false">'WCAG - IT Experts'!M24</f>
        <v>0</v>
      </c>
      <c r="K32" s="59" t="n">
        <f aca="false">'WCAG - IT Experts'!M24/COUNT('WCAG - IT Experts'!$C24:$G24)</f>
        <v>0</v>
      </c>
      <c r="L32" s="60" t="n">
        <f aca="false">'WCAG - IT Experts'!H24</f>
        <v>4</v>
      </c>
      <c r="M32" s="58" t="str">
        <f aca="false">IF('WCAG - IT Experts'!H24&gt;='Scoring Rubrics'!$A$78,'Scoring Rubrics'!$C$78,IF('WCAG - IT Experts'!H24&gt;='Scoring Rubrics'!$A$79,'Scoring Rubrics'!$C$79,IF('WCAG - IT Experts'!H24&gt;='Scoring Rubrics'!$A$80,'Scoring Rubrics'!$C$80,IF('WCAG - IT Experts'!H24&gt;='Scoring Rubrics'!$A$81,'Scoring Rubrics'!$C$81,'Scoring Rubrics'!$C$82))))</f>
        <v>Accessible</v>
      </c>
    </row>
    <row r="33" customFormat="false" ht="38.25" hidden="false" customHeight="true" outlineLevel="0" collapsed="false">
      <c r="A33" s="57" t="s">
        <v>355</v>
      </c>
      <c r="B33" s="58" t="n">
        <f aca="false">'WCAG - IT Experts'!I25</f>
        <v>3</v>
      </c>
      <c r="C33" s="59" t="n">
        <f aca="false">'WCAG - IT Experts'!I25/COUNT('WCAG - IT Experts'!$C25:$G25)</f>
        <v>0.6</v>
      </c>
      <c r="D33" s="58" t="n">
        <f aca="false">'WCAG - IT Experts'!J25</f>
        <v>2</v>
      </c>
      <c r="E33" s="59" t="n">
        <f aca="false">'WCAG - IT Experts'!J25/COUNT('WCAG - IT Experts'!$C25:$G25)</f>
        <v>0.4</v>
      </c>
      <c r="F33" s="58" t="n">
        <f aca="false">'WCAG - IT Experts'!K25</f>
        <v>0</v>
      </c>
      <c r="G33" s="59" t="n">
        <f aca="false">'WCAG - IT Experts'!K25/COUNT('WCAG - IT Experts'!$C25:$G25)</f>
        <v>0</v>
      </c>
      <c r="H33" s="58" t="n">
        <f aca="false">'WCAG - IT Experts'!L25</f>
        <v>0</v>
      </c>
      <c r="I33" s="59" t="n">
        <f aca="false">'WCAG - IT Experts'!L25/COUNT('WCAG - IT Experts'!$C25:$G25)</f>
        <v>0</v>
      </c>
      <c r="J33" s="58" t="n">
        <f aca="false">'WCAG - IT Experts'!M25</f>
        <v>0</v>
      </c>
      <c r="K33" s="59" t="n">
        <f aca="false">'WCAG - IT Experts'!M25/COUNT('WCAG - IT Experts'!$C25:$G25)</f>
        <v>0</v>
      </c>
      <c r="L33" s="60" t="n">
        <f aca="false">'WCAG - IT Experts'!H25</f>
        <v>4.6</v>
      </c>
      <c r="M33" s="58" t="str">
        <f aca="false">IF('WCAG - IT Experts'!H25&gt;='Scoring Rubrics'!$A$78,'Scoring Rubrics'!$C$78,IF('WCAG - IT Experts'!H25&gt;='Scoring Rubrics'!$A$79,'Scoring Rubrics'!$C$79,IF('WCAG - IT Experts'!H25&gt;='Scoring Rubrics'!$A$80,'Scoring Rubrics'!$C$80,IF('WCAG - IT Experts'!H25&gt;='Scoring Rubrics'!$A$81,'Scoring Rubrics'!$C$81,'Scoring Rubrics'!$C$82))))</f>
        <v>Highly Accessible</v>
      </c>
    </row>
    <row r="34" customFormat="false" ht="38.25" hidden="false" customHeight="true" outlineLevel="0" collapsed="false">
      <c r="A34" s="57" t="s">
        <v>356</v>
      </c>
      <c r="B34" s="58" t="n">
        <f aca="false">'WCAG - IT Experts'!I26</f>
        <v>2</v>
      </c>
      <c r="C34" s="59" t="n">
        <f aca="false">'WCAG - IT Experts'!I26/COUNT('WCAG - IT Experts'!$C26:$G26)</f>
        <v>0.4</v>
      </c>
      <c r="D34" s="58" t="n">
        <f aca="false">'WCAG - IT Experts'!J26</f>
        <v>3</v>
      </c>
      <c r="E34" s="59" t="n">
        <f aca="false">'WCAG - IT Experts'!J26/COUNT('WCAG - IT Experts'!$C26:$G26)</f>
        <v>0.6</v>
      </c>
      <c r="F34" s="58" t="n">
        <f aca="false">'WCAG - IT Experts'!K26</f>
        <v>0</v>
      </c>
      <c r="G34" s="59" t="n">
        <f aca="false">'WCAG - IT Experts'!K26/COUNT('WCAG - IT Experts'!$C26:$G26)</f>
        <v>0</v>
      </c>
      <c r="H34" s="58" t="n">
        <f aca="false">'WCAG - IT Experts'!L26</f>
        <v>0</v>
      </c>
      <c r="I34" s="59" t="n">
        <f aca="false">'WCAG - IT Experts'!L26/COUNT('WCAG - IT Experts'!$C26:$G26)</f>
        <v>0</v>
      </c>
      <c r="J34" s="58" t="n">
        <f aca="false">'WCAG - IT Experts'!M26</f>
        <v>0</v>
      </c>
      <c r="K34" s="59" t="n">
        <f aca="false">'WCAG - IT Experts'!M26/COUNT('WCAG - IT Experts'!$C26:$G26)</f>
        <v>0</v>
      </c>
      <c r="L34" s="60" t="n">
        <f aca="false">'WCAG - IT Experts'!H26</f>
        <v>4.4</v>
      </c>
      <c r="M34" s="58" t="str">
        <f aca="false">IF('WCAG - IT Experts'!H26&gt;='Scoring Rubrics'!$A$78,'Scoring Rubrics'!$C$78,IF('WCAG - IT Experts'!H26&gt;='Scoring Rubrics'!$A$79,'Scoring Rubrics'!$C$79,IF('WCAG - IT Experts'!H26&gt;='Scoring Rubrics'!$A$80,'Scoring Rubrics'!$C$80,IF('WCAG - IT Experts'!H26&gt;='Scoring Rubrics'!$A$81,'Scoring Rubrics'!$C$81,'Scoring Rubrics'!$C$82))))</f>
        <v>Highly Accessible</v>
      </c>
    </row>
    <row r="35" customFormat="false" ht="38.25" hidden="false" customHeight="true" outlineLevel="0" collapsed="false">
      <c r="A35" s="57" t="s">
        <v>357</v>
      </c>
      <c r="B35" s="58" t="n">
        <f aca="false">'WCAG - IT Experts'!I27</f>
        <v>3</v>
      </c>
      <c r="C35" s="59" t="n">
        <f aca="false">'WCAG - IT Experts'!I27/COUNT('WCAG - IT Experts'!$C27:$G27)</f>
        <v>0.6</v>
      </c>
      <c r="D35" s="58" t="n">
        <f aca="false">'WCAG - IT Experts'!J27</f>
        <v>2</v>
      </c>
      <c r="E35" s="59" t="n">
        <f aca="false">'WCAG - IT Experts'!J27/COUNT('WCAG - IT Experts'!$C27:$G27)</f>
        <v>0.4</v>
      </c>
      <c r="F35" s="58" t="n">
        <f aca="false">'WCAG - IT Experts'!K27</f>
        <v>0</v>
      </c>
      <c r="G35" s="59" t="n">
        <f aca="false">'WCAG - IT Experts'!K27/COUNT('WCAG - IT Experts'!$C27:$G27)</f>
        <v>0</v>
      </c>
      <c r="H35" s="58" t="n">
        <f aca="false">'WCAG - IT Experts'!L27</f>
        <v>0</v>
      </c>
      <c r="I35" s="59" t="n">
        <f aca="false">'WCAG - IT Experts'!L27/COUNT('WCAG - IT Experts'!$C27:$G27)</f>
        <v>0</v>
      </c>
      <c r="J35" s="58" t="n">
        <f aca="false">'WCAG - IT Experts'!M27</f>
        <v>0</v>
      </c>
      <c r="K35" s="59" t="n">
        <f aca="false">'WCAG - IT Experts'!M27/COUNT('WCAG - IT Experts'!$C27:$G27)</f>
        <v>0</v>
      </c>
      <c r="L35" s="60" t="n">
        <f aca="false">'WCAG - IT Experts'!H27</f>
        <v>4.6</v>
      </c>
      <c r="M35" s="58" t="str">
        <f aca="false">IF('WCAG - IT Experts'!H27&gt;='Scoring Rubrics'!$A$78,'Scoring Rubrics'!$C$78,IF('WCAG - IT Experts'!H27&gt;='Scoring Rubrics'!$A$79,'Scoring Rubrics'!$C$79,IF('WCAG - IT Experts'!H27&gt;='Scoring Rubrics'!$A$80,'Scoring Rubrics'!$C$80,IF('WCAG - IT Experts'!H27&gt;='Scoring Rubrics'!$A$81,'Scoring Rubrics'!$C$81,'Scoring Rubrics'!$C$82))))</f>
        <v>Highly Accessible</v>
      </c>
    </row>
    <row r="36" customFormat="false" ht="38.25" hidden="false" customHeight="true" outlineLevel="0" collapsed="false">
      <c r="A36" s="57" t="s">
        <v>358</v>
      </c>
      <c r="B36" s="58" t="n">
        <f aca="false">'WCAG - IT Experts'!I28</f>
        <v>4</v>
      </c>
      <c r="C36" s="59" t="n">
        <f aca="false">'WCAG - IT Experts'!I28/COUNT('WCAG - IT Experts'!$C28:$G28)</f>
        <v>0.8</v>
      </c>
      <c r="D36" s="58" t="n">
        <f aca="false">'WCAG - IT Experts'!J28</f>
        <v>1</v>
      </c>
      <c r="E36" s="59" t="n">
        <f aca="false">'WCAG - IT Experts'!J28/COUNT('WCAG - IT Experts'!$C28:$G28)</f>
        <v>0.2</v>
      </c>
      <c r="F36" s="58" t="n">
        <f aca="false">'WCAG - IT Experts'!K28</f>
        <v>0</v>
      </c>
      <c r="G36" s="59" t="n">
        <f aca="false">'WCAG - IT Experts'!K28/COUNT('WCAG - IT Experts'!$C28:$G28)</f>
        <v>0</v>
      </c>
      <c r="H36" s="58" t="n">
        <f aca="false">'WCAG - IT Experts'!L28</f>
        <v>0</v>
      </c>
      <c r="I36" s="59" t="n">
        <f aca="false">'WCAG - IT Experts'!L28/COUNT('WCAG - IT Experts'!$C28:$G28)</f>
        <v>0</v>
      </c>
      <c r="J36" s="58" t="n">
        <f aca="false">'WCAG - IT Experts'!M28</f>
        <v>0</v>
      </c>
      <c r="K36" s="59" t="n">
        <f aca="false">'WCAG - IT Experts'!M28/COUNT('WCAG - IT Experts'!$C28:$G28)</f>
        <v>0</v>
      </c>
      <c r="L36" s="60" t="n">
        <f aca="false">'WCAG - IT Experts'!H28</f>
        <v>4.8</v>
      </c>
      <c r="M36" s="58" t="str">
        <f aca="false">IF('WCAG - IT Experts'!H28&gt;='Scoring Rubrics'!$A$78,'Scoring Rubrics'!$C$78,IF('WCAG - IT Experts'!H28&gt;='Scoring Rubrics'!$A$79,'Scoring Rubrics'!$C$79,IF('WCAG - IT Experts'!H28&gt;='Scoring Rubrics'!$A$80,'Scoring Rubrics'!$C$80,IF('WCAG - IT Experts'!H28&gt;='Scoring Rubrics'!$A$81,'Scoring Rubrics'!$C$81,'Scoring Rubrics'!$C$82))))</f>
        <v>Highly Accessible</v>
      </c>
    </row>
    <row r="37" customFormat="false" ht="15" hidden="false" customHeight="true" outlineLevel="0" collapsed="false">
      <c r="A37" s="61" t="s">
        <v>274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 t="n">
        <f aca="false">'WCAG - IT Experts'!H29</f>
        <v>4.53333333333333</v>
      </c>
      <c r="M37" s="63" t="str">
        <f aca="false">IF('WCAG - IT Experts'!H29&gt;='Scoring Rubrics'!$A$78,'Scoring Rubrics'!$C$78,IF('WCAG - IT Experts'!H29&gt;='Scoring Rubrics'!$A$79,'Scoring Rubrics'!$C$79,IF('WCAG - IT Experts'!H29&gt;='Scoring Rubrics'!$A$80,'Scoring Rubrics'!$C$80,IF('WCAG - IT Experts'!H29&gt;='Scoring Rubrics'!$A$81,'Scoring Rubrics'!$C$81,'Scoring Rubrics'!$C$82))))</f>
        <v>Highly Accessible</v>
      </c>
    </row>
    <row r="38" customFormat="false" ht="25.5" hidden="false" customHeight="true" outlineLevel="0" collapsed="false">
      <c r="A38" s="64" t="s">
        <v>374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41" customFormat="false" ht="15" hidden="false" customHeight="true" outlineLevel="0" collapsed="false">
      <c r="A41" s="2" t="s">
        <v>282</v>
      </c>
    </row>
    <row r="42" customFormat="false" ht="15" hidden="false" customHeight="true" outlineLevel="0" collapsed="false">
      <c r="A42" s="52" t="s">
        <v>377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</row>
    <row r="43" customFormat="false" ht="15" hidden="false" customHeight="true" outlineLevel="0" collapsed="false">
      <c r="A43" s="53" t="s">
        <v>168</v>
      </c>
      <c r="B43" s="54" t="s">
        <v>369</v>
      </c>
      <c r="C43" s="54"/>
      <c r="D43" s="54" t="s">
        <v>370</v>
      </c>
      <c r="E43" s="54"/>
      <c r="F43" s="54" t="s">
        <v>371</v>
      </c>
      <c r="G43" s="54"/>
      <c r="H43" s="54" t="s">
        <v>372</v>
      </c>
      <c r="I43" s="54"/>
      <c r="J43" s="54" t="s">
        <v>373</v>
      </c>
      <c r="K43" s="54"/>
      <c r="L43" s="53" t="s">
        <v>174</v>
      </c>
      <c r="M43" s="53" t="s">
        <v>125</v>
      </c>
    </row>
    <row r="44" customFormat="false" ht="15" hidden="false" customHeight="true" outlineLevel="0" collapsed="false">
      <c r="A44" s="53"/>
      <c r="B44" s="55" t="s">
        <v>272</v>
      </c>
      <c r="C44" s="55" t="s">
        <v>273</v>
      </c>
      <c r="D44" s="55" t="s">
        <v>272</v>
      </c>
      <c r="E44" s="55" t="s">
        <v>273</v>
      </c>
      <c r="F44" s="55" t="s">
        <v>272</v>
      </c>
      <c r="G44" s="55" t="s">
        <v>273</v>
      </c>
      <c r="H44" s="55" t="s">
        <v>272</v>
      </c>
      <c r="I44" s="55" t="s">
        <v>273</v>
      </c>
      <c r="J44" s="55" t="s">
        <v>272</v>
      </c>
      <c r="K44" s="55" t="s">
        <v>273</v>
      </c>
      <c r="L44" s="53"/>
      <c r="M44" s="53"/>
    </row>
    <row r="45" customFormat="false" ht="38.25" hidden="false" customHeight="true" outlineLevel="0" collapsed="false">
      <c r="A45" s="57" t="s">
        <v>361</v>
      </c>
      <c r="B45" s="58" t="n">
        <f aca="false">'WCAG - IT Experts'!I32</f>
        <v>0</v>
      </c>
      <c r="C45" s="59" t="n">
        <f aca="false">'WCAG - IT Experts'!I32/COUNT('WCAG - IT Experts'!$C32:$G32)</f>
        <v>0</v>
      </c>
      <c r="D45" s="58" t="n">
        <f aca="false">'WCAG - IT Experts'!J32</f>
        <v>5</v>
      </c>
      <c r="E45" s="59" t="n">
        <f aca="false">'WCAG - IT Experts'!J32/COUNT('WCAG - IT Experts'!$C32:$G32)</f>
        <v>1</v>
      </c>
      <c r="F45" s="58" t="n">
        <f aca="false">'WCAG - IT Experts'!K32</f>
        <v>0</v>
      </c>
      <c r="G45" s="59" t="n">
        <f aca="false">'WCAG - IT Experts'!K32/COUNT('WCAG - IT Experts'!$C32:$G32)</f>
        <v>0</v>
      </c>
      <c r="H45" s="58" t="n">
        <f aca="false">'WCAG - IT Experts'!L32</f>
        <v>0</v>
      </c>
      <c r="I45" s="59" t="n">
        <f aca="false">'WCAG - IT Experts'!L32/COUNT('WCAG - IT Experts'!$C32:$G32)</f>
        <v>0</v>
      </c>
      <c r="J45" s="58" t="n">
        <f aca="false">'WCAG - IT Experts'!M32</f>
        <v>0</v>
      </c>
      <c r="K45" s="59" t="n">
        <f aca="false">'WCAG - IT Experts'!M32/COUNT('WCAG - IT Experts'!$C32:$G32)</f>
        <v>0</v>
      </c>
      <c r="L45" s="60" t="n">
        <f aca="false">'WCAG - IT Experts'!H32</f>
        <v>4</v>
      </c>
      <c r="M45" s="58" t="str">
        <f aca="false">IF('WCAG - IT Experts'!H32&gt;='Scoring Rubrics'!$A$78,'Scoring Rubrics'!$C$78,IF('WCAG - IT Experts'!H32&gt;='Scoring Rubrics'!$A$79,'Scoring Rubrics'!$C$79,IF('WCAG - IT Experts'!H32&gt;='Scoring Rubrics'!$A$80,'Scoring Rubrics'!$C$80,IF('WCAG - IT Experts'!H32&gt;='Scoring Rubrics'!$A$81,'Scoring Rubrics'!$C$81,'Scoring Rubrics'!$C$82))))</f>
        <v>Accessible</v>
      </c>
    </row>
    <row r="46" customFormat="false" ht="38.25" hidden="false" customHeight="true" outlineLevel="0" collapsed="false">
      <c r="A46" s="57" t="s">
        <v>362</v>
      </c>
      <c r="B46" s="58" t="n">
        <f aca="false">'WCAG - IT Experts'!I33</f>
        <v>0</v>
      </c>
      <c r="C46" s="59" t="n">
        <f aca="false">'WCAG - IT Experts'!I33/COUNT('WCAG - IT Experts'!$C33:$G33)</f>
        <v>0</v>
      </c>
      <c r="D46" s="58" t="n">
        <f aca="false">'WCAG - IT Experts'!J33</f>
        <v>3</v>
      </c>
      <c r="E46" s="59" t="n">
        <f aca="false">'WCAG - IT Experts'!J33/COUNT('WCAG - IT Experts'!$C33:$G33)</f>
        <v>0.6</v>
      </c>
      <c r="F46" s="58" t="n">
        <f aca="false">'WCAG - IT Experts'!K33</f>
        <v>2</v>
      </c>
      <c r="G46" s="59" t="n">
        <f aca="false">'WCAG - IT Experts'!K33/COUNT('WCAG - IT Experts'!$C33:$G33)</f>
        <v>0.4</v>
      </c>
      <c r="H46" s="58" t="n">
        <f aca="false">'WCAG - IT Experts'!L33</f>
        <v>0</v>
      </c>
      <c r="I46" s="59" t="n">
        <f aca="false">'WCAG - IT Experts'!L33/COUNT('WCAG - IT Experts'!$C33:$G33)</f>
        <v>0</v>
      </c>
      <c r="J46" s="58" t="n">
        <f aca="false">'WCAG - IT Experts'!M33</f>
        <v>0</v>
      </c>
      <c r="K46" s="59" t="n">
        <f aca="false">'WCAG - IT Experts'!M33/COUNT('WCAG - IT Experts'!$C33:$G33)</f>
        <v>0</v>
      </c>
      <c r="L46" s="60" t="n">
        <f aca="false">'WCAG - IT Experts'!H33</f>
        <v>3.6</v>
      </c>
      <c r="M46" s="58" t="str">
        <f aca="false">IF('WCAG - IT Experts'!H33&gt;='Scoring Rubrics'!$A$78,'Scoring Rubrics'!$C$78,IF('WCAG - IT Experts'!H33&gt;='Scoring Rubrics'!$A$79,'Scoring Rubrics'!$C$79,IF('WCAG - IT Experts'!H33&gt;='Scoring Rubrics'!$A$80,'Scoring Rubrics'!$C$80,IF('WCAG - IT Experts'!H33&gt;='Scoring Rubrics'!$A$81,'Scoring Rubrics'!$C$81,'Scoring Rubrics'!$C$82))))</f>
        <v>Accessible</v>
      </c>
    </row>
    <row r="47" customFormat="false" ht="38.25" hidden="false" customHeight="true" outlineLevel="0" collapsed="false">
      <c r="A47" s="57" t="s">
        <v>363</v>
      </c>
      <c r="B47" s="58" t="n">
        <f aca="false">'WCAG - IT Experts'!I34</f>
        <v>1</v>
      </c>
      <c r="C47" s="59" t="n">
        <f aca="false">'WCAG - IT Experts'!I34/COUNT('WCAG - IT Experts'!$C34:$G34)</f>
        <v>0.2</v>
      </c>
      <c r="D47" s="58" t="n">
        <f aca="false">'WCAG - IT Experts'!J34</f>
        <v>3</v>
      </c>
      <c r="E47" s="59" t="n">
        <f aca="false">'WCAG - IT Experts'!J34/COUNT('WCAG - IT Experts'!$C34:$G34)</f>
        <v>0.6</v>
      </c>
      <c r="F47" s="58" t="n">
        <f aca="false">'WCAG - IT Experts'!K34</f>
        <v>1</v>
      </c>
      <c r="G47" s="59" t="n">
        <f aca="false">'WCAG - IT Experts'!K34/COUNT('WCAG - IT Experts'!$C34:$G34)</f>
        <v>0.2</v>
      </c>
      <c r="H47" s="58" t="n">
        <f aca="false">'WCAG - IT Experts'!L34</f>
        <v>0</v>
      </c>
      <c r="I47" s="59" t="n">
        <f aca="false">'WCAG - IT Experts'!L34/COUNT('WCAG - IT Experts'!$C34:$G34)</f>
        <v>0</v>
      </c>
      <c r="J47" s="58" t="n">
        <f aca="false">'WCAG - IT Experts'!M34</f>
        <v>0</v>
      </c>
      <c r="K47" s="59" t="n">
        <f aca="false">'WCAG - IT Experts'!M34/COUNT('WCAG - IT Experts'!$C34:$G34)</f>
        <v>0</v>
      </c>
      <c r="L47" s="60" t="n">
        <f aca="false">'WCAG - IT Experts'!H34</f>
        <v>4</v>
      </c>
      <c r="M47" s="58" t="str">
        <f aca="false">IF('WCAG - IT Experts'!H34&gt;='Scoring Rubrics'!$A$78,'Scoring Rubrics'!$C$78,IF('WCAG - IT Experts'!H34&gt;='Scoring Rubrics'!$A$79,'Scoring Rubrics'!$C$79,IF('WCAG - IT Experts'!H34&gt;='Scoring Rubrics'!$A$80,'Scoring Rubrics'!$C$80,IF('WCAG - IT Experts'!H34&gt;='Scoring Rubrics'!$A$81,'Scoring Rubrics'!$C$81,'Scoring Rubrics'!$C$82))))</f>
        <v>Accessible</v>
      </c>
    </row>
    <row r="48" customFormat="false" ht="38.25" hidden="false" customHeight="true" outlineLevel="0" collapsed="false">
      <c r="A48" s="57" t="s">
        <v>364</v>
      </c>
      <c r="B48" s="58" t="n">
        <f aca="false">'WCAG - IT Experts'!I35</f>
        <v>1</v>
      </c>
      <c r="C48" s="59" t="n">
        <f aca="false">'WCAG - IT Experts'!I35/COUNT('WCAG - IT Experts'!$C35:$G35)</f>
        <v>0.2</v>
      </c>
      <c r="D48" s="58" t="n">
        <f aca="false">'WCAG - IT Experts'!J35</f>
        <v>4</v>
      </c>
      <c r="E48" s="59" t="n">
        <f aca="false">'WCAG - IT Experts'!J35/COUNT('WCAG - IT Experts'!$C35:$G35)</f>
        <v>0.8</v>
      </c>
      <c r="F48" s="58" t="n">
        <f aca="false">'WCAG - IT Experts'!K35</f>
        <v>0</v>
      </c>
      <c r="G48" s="59" t="n">
        <f aca="false">'WCAG - IT Experts'!K35/COUNT('WCAG - IT Experts'!$C35:$G35)</f>
        <v>0</v>
      </c>
      <c r="H48" s="58" t="n">
        <f aca="false">'WCAG - IT Experts'!L35</f>
        <v>0</v>
      </c>
      <c r="I48" s="59" t="n">
        <f aca="false">'WCAG - IT Experts'!L35/COUNT('WCAG - IT Experts'!$C35:$G35)</f>
        <v>0</v>
      </c>
      <c r="J48" s="58" t="n">
        <f aca="false">'WCAG - IT Experts'!M35</f>
        <v>0</v>
      </c>
      <c r="K48" s="59" t="n">
        <f aca="false">'WCAG - IT Experts'!M35/COUNT('WCAG - IT Experts'!$C35:$G35)</f>
        <v>0</v>
      </c>
      <c r="L48" s="60" t="n">
        <f aca="false">'WCAG - IT Experts'!H35</f>
        <v>4.2</v>
      </c>
      <c r="M48" s="58" t="str">
        <f aca="false">IF('WCAG - IT Experts'!H35&gt;='Scoring Rubrics'!$A$78,'Scoring Rubrics'!$C$78,IF('WCAG - IT Experts'!H35&gt;='Scoring Rubrics'!$A$79,'Scoring Rubrics'!$C$79,IF('WCAG - IT Experts'!H35&gt;='Scoring Rubrics'!$A$80,'Scoring Rubrics'!$C$80,IF('WCAG - IT Experts'!H35&gt;='Scoring Rubrics'!$A$81,'Scoring Rubrics'!$C$81,'Scoring Rubrics'!$C$82))))</f>
        <v>Accessible</v>
      </c>
    </row>
    <row r="49" customFormat="false" ht="38.25" hidden="false" customHeight="true" outlineLevel="0" collapsed="false">
      <c r="A49" s="57" t="s">
        <v>365</v>
      </c>
      <c r="B49" s="58" t="n">
        <f aca="false">'WCAG - IT Experts'!I36</f>
        <v>2</v>
      </c>
      <c r="C49" s="59" t="n">
        <f aca="false">'WCAG - IT Experts'!I36/COUNT('WCAG - IT Experts'!$C36:$G36)</f>
        <v>0.4</v>
      </c>
      <c r="D49" s="58" t="n">
        <f aca="false">'WCAG - IT Experts'!J36</f>
        <v>3</v>
      </c>
      <c r="E49" s="59" t="n">
        <f aca="false">'WCAG - IT Experts'!J36/COUNT('WCAG - IT Experts'!$C36:$G36)</f>
        <v>0.6</v>
      </c>
      <c r="F49" s="58" t="n">
        <f aca="false">'WCAG - IT Experts'!K36</f>
        <v>0</v>
      </c>
      <c r="G49" s="59" t="n">
        <f aca="false">'WCAG - IT Experts'!K36/COUNT('WCAG - IT Experts'!$C36:$G36)</f>
        <v>0</v>
      </c>
      <c r="H49" s="58" t="n">
        <f aca="false">'WCAG - IT Experts'!L36</f>
        <v>0</v>
      </c>
      <c r="I49" s="59" t="n">
        <f aca="false">'WCAG - IT Experts'!L36/COUNT('WCAG - IT Experts'!$C36:$G36)</f>
        <v>0</v>
      </c>
      <c r="J49" s="58" t="n">
        <f aca="false">'WCAG - IT Experts'!M36</f>
        <v>0</v>
      </c>
      <c r="K49" s="59" t="n">
        <f aca="false">'WCAG - IT Experts'!M36/COUNT('WCAG - IT Experts'!$C36:$G36)</f>
        <v>0</v>
      </c>
      <c r="L49" s="60" t="n">
        <f aca="false">'WCAG - IT Experts'!H36</f>
        <v>4.4</v>
      </c>
      <c r="M49" s="58" t="str">
        <f aca="false">IF('WCAG - IT Experts'!H36&gt;='Scoring Rubrics'!$A$78,'Scoring Rubrics'!$C$78,IF('WCAG - IT Experts'!H36&gt;='Scoring Rubrics'!$A$79,'Scoring Rubrics'!$C$79,IF('WCAG - IT Experts'!H36&gt;='Scoring Rubrics'!$A$80,'Scoring Rubrics'!$C$80,IF('WCAG - IT Experts'!H36&gt;='Scoring Rubrics'!$A$81,'Scoring Rubrics'!$C$81,'Scoring Rubrics'!$C$82))))</f>
        <v>Highly Accessible</v>
      </c>
    </row>
    <row r="50" customFormat="false" ht="38.25" hidden="false" customHeight="true" outlineLevel="0" collapsed="false">
      <c r="A50" s="57" t="s">
        <v>366</v>
      </c>
      <c r="B50" s="58" t="n">
        <f aca="false">'WCAG - IT Experts'!I37</f>
        <v>2</v>
      </c>
      <c r="C50" s="59" t="n">
        <f aca="false">'WCAG - IT Experts'!I37/COUNT('WCAG - IT Experts'!$C37:$G37)</f>
        <v>0.4</v>
      </c>
      <c r="D50" s="58" t="n">
        <f aca="false">'WCAG - IT Experts'!J37</f>
        <v>3</v>
      </c>
      <c r="E50" s="59" t="n">
        <f aca="false">'WCAG - IT Experts'!J37/COUNT('WCAG - IT Experts'!$C37:$G37)</f>
        <v>0.6</v>
      </c>
      <c r="F50" s="58" t="n">
        <f aca="false">'WCAG - IT Experts'!K37</f>
        <v>0</v>
      </c>
      <c r="G50" s="59" t="n">
        <f aca="false">'WCAG - IT Experts'!K37/COUNT('WCAG - IT Experts'!$C37:$G37)</f>
        <v>0</v>
      </c>
      <c r="H50" s="58" t="n">
        <f aca="false">'WCAG - IT Experts'!L37</f>
        <v>0</v>
      </c>
      <c r="I50" s="59" t="n">
        <f aca="false">'WCAG - IT Experts'!L37/COUNT('WCAG - IT Experts'!$C37:$G37)</f>
        <v>0</v>
      </c>
      <c r="J50" s="58" t="n">
        <f aca="false">'WCAG - IT Experts'!M37</f>
        <v>0</v>
      </c>
      <c r="K50" s="59" t="n">
        <f aca="false">'WCAG - IT Experts'!M37/COUNT('WCAG - IT Experts'!$C37:$G37)</f>
        <v>0</v>
      </c>
      <c r="L50" s="60" t="n">
        <f aca="false">'WCAG - IT Experts'!H37</f>
        <v>4.4</v>
      </c>
      <c r="M50" s="58" t="str">
        <f aca="false">IF('WCAG - IT Experts'!H37&gt;='Scoring Rubrics'!$A$78,'Scoring Rubrics'!$C$78,IF('WCAG - IT Experts'!H37&gt;='Scoring Rubrics'!$A$79,'Scoring Rubrics'!$C$79,IF('WCAG - IT Experts'!H37&gt;='Scoring Rubrics'!$A$80,'Scoring Rubrics'!$C$80,IF('WCAG - IT Experts'!H37&gt;='Scoring Rubrics'!$A$81,'Scoring Rubrics'!$C$81,'Scoring Rubrics'!$C$82))))</f>
        <v>Highly Accessible</v>
      </c>
    </row>
    <row r="51" customFormat="false" ht="15" hidden="false" customHeight="true" outlineLevel="0" collapsed="false">
      <c r="A51" s="61" t="s">
        <v>274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2" t="n">
        <f aca="false">'WCAG - IT Experts'!H38</f>
        <v>4.1</v>
      </c>
      <c r="M51" s="63" t="str">
        <f aca="false">IF('WCAG - IT Experts'!H38&gt;='Scoring Rubrics'!$A$78,'Scoring Rubrics'!$C$78,IF('WCAG - IT Experts'!H38&gt;='Scoring Rubrics'!$A$79,'Scoring Rubrics'!$C$79,IF('WCAG - IT Experts'!H38&gt;='Scoring Rubrics'!$A$80,'Scoring Rubrics'!$C$80,IF('WCAG - IT Experts'!H38&gt;='Scoring Rubrics'!$A$81,'Scoring Rubrics'!$C$81,'Scoring Rubrics'!$C$82))))</f>
        <v>Accessible</v>
      </c>
    </row>
    <row r="52" customFormat="false" ht="25.5" hidden="false" customHeight="true" outlineLevel="0" collapsed="false">
      <c r="A52" s="64" t="s">
        <v>374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</row>
    <row r="55" customFormat="false" ht="15" hidden="false" customHeight="true" outlineLevel="0" collapsed="false">
      <c r="A55" s="2" t="s">
        <v>285</v>
      </c>
    </row>
    <row r="56" customFormat="false" ht="15" hidden="false" customHeight="true" outlineLevel="0" collapsed="false">
      <c r="A56" s="52" t="s">
        <v>378</v>
      </c>
      <c r="B56" s="52"/>
      <c r="C56" s="52"/>
      <c r="D56" s="52"/>
      <c r="E56" s="52"/>
      <c r="F56" s="52"/>
      <c r="G56" s="52"/>
      <c r="H56" s="52"/>
    </row>
    <row r="57" customFormat="false" ht="15" hidden="false" customHeight="true" outlineLevel="0" collapsed="false">
      <c r="A57" s="63" t="s">
        <v>299</v>
      </c>
      <c r="B57" s="63" t="s">
        <v>174</v>
      </c>
      <c r="C57" s="63"/>
      <c r="D57" s="44" t="s">
        <v>125</v>
      </c>
      <c r="E57" s="44"/>
      <c r="F57" s="44"/>
      <c r="G57" s="44"/>
      <c r="H57" s="44"/>
    </row>
    <row r="58" customFormat="false" ht="15" hidden="false" customHeight="true" outlineLevel="0" collapsed="false">
      <c r="A58" s="58" t="s">
        <v>379</v>
      </c>
      <c r="B58" s="65" t="n">
        <f aca="false">'WCAG - IT Experts'!H10</f>
        <v>4.13333333333333</v>
      </c>
      <c r="C58" s="65"/>
      <c r="D58" s="46" t="str">
        <f aca="false">IF('WCAG - IT Experts'!H10&gt;='Scoring Rubrics'!$A$78,'Scoring Rubrics'!$C$78,IF('WCAG - IT Experts'!H10&gt;='Scoring Rubrics'!$A$79,'Scoring Rubrics'!$C$79,IF('WCAG - IT Experts'!H10&gt;='Scoring Rubrics'!$A$80,'Scoring Rubrics'!$C$80,IF('WCAG - IT Experts'!H10&gt;='Scoring Rubrics'!$A$81,'Scoring Rubrics'!$C$81,'Scoring Rubrics'!$C$82))))</f>
        <v>Accessible</v>
      </c>
      <c r="E58" s="46"/>
      <c r="F58" s="46"/>
      <c r="G58" s="46"/>
      <c r="H58" s="46"/>
    </row>
    <row r="59" customFormat="false" ht="15" hidden="false" customHeight="true" outlineLevel="0" collapsed="false">
      <c r="A59" s="58" t="s">
        <v>380</v>
      </c>
      <c r="B59" s="65" t="n">
        <f aca="false">'WCAG - IT Experts'!H17</f>
        <v>3.85</v>
      </c>
      <c r="C59" s="65"/>
      <c r="D59" s="46" t="str">
        <f aca="false">IF('WCAG - IT Experts'!H17&gt;='Scoring Rubrics'!$A$78,'Scoring Rubrics'!$C$78,IF('WCAG - IT Experts'!H17&gt;='Scoring Rubrics'!$A$79,'Scoring Rubrics'!$C$79,IF('WCAG - IT Experts'!H17&gt;='Scoring Rubrics'!$A$80,'Scoring Rubrics'!$C$80,IF('WCAG - IT Experts'!H17&gt;='Scoring Rubrics'!$A$81,'Scoring Rubrics'!$C$81,'Scoring Rubrics'!$C$82))))</f>
        <v>Accessible</v>
      </c>
      <c r="E59" s="46"/>
      <c r="F59" s="46"/>
      <c r="G59" s="46"/>
      <c r="H59" s="46"/>
    </row>
    <row r="60" customFormat="false" ht="15" hidden="false" customHeight="true" outlineLevel="0" collapsed="false">
      <c r="A60" s="58" t="s">
        <v>381</v>
      </c>
      <c r="B60" s="65" t="n">
        <f aca="false">'WCAG - IT Experts'!H29</f>
        <v>4.53333333333333</v>
      </c>
      <c r="C60" s="65"/>
      <c r="D60" s="46" t="str">
        <f aca="false">IF('WCAG - IT Experts'!H29&gt;='Scoring Rubrics'!$A$78,'Scoring Rubrics'!$C$78,IF('WCAG - IT Experts'!H29&gt;='Scoring Rubrics'!$A$79,'Scoring Rubrics'!$C$79,IF('WCAG - IT Experts'!H29&gt;='Scoring Rubrics'!$A$80,'Scoring Rubrics'!$C$80,IF('WCAG - IT Experts'!H29&gt;='Scoring Rubrics'!$A$81,'Scoring Rubrics'!$C$81,'Scoring Rubrics'!$C$82))))</f>
        <v>Highly Accessible</v>
      </c>
      <c r="E60" s="46"/>
      <c r="F60" s="46"/>
      <c r="G60" s="46"/>
      <c r="H60" s="46"/>
    </row>
    <row r="61" customFormat="false" ht="15" hidden="false" customHeight="true" outlineLevel="0" collapsed="false">
      <c r="A61" s="58" t="s">
        <v>382</v>
      </c>
      <c r="B61" s="65" t="n">
        <f aca="false">'WCAG - IT Experts'!H38</f>
        <v>4.1</v>
      </c>
      <c r="C61" s="65"/>
      <c r="D61" s="46" t="str">
        <f aca="false">IF('WCAG - IT Experts'!H38&gt;='Scoring Rubrics'!$A$78,'Scoring Rubrics'!$C$78,IF('WCAG - IT Experts'!H38&gt;='Scoring Rubrics'!$A$79,'Scoring Rubrics'!$C$79,IF('WCAG - IT Experts'!H38&gt;='Scoring Rubrics'!$A$80,'Scoring Rubrics'!$C$80,IF('WCAG - IT Experts'!H38&gt;='Scoring Rubrics'!$A$81,'Scoring Rubrics'!$C$81,'Scoring Rubrics'!$C$82))))</f>
        <v>Accessible</v>
      </c>
      <c r="E61" s="46"/>
      <c r="F61" s="46"/>
      <c r="G61" s="46"/>
      <c r="H61" s="46"/>
    </row>
    <row r="62" customFormat="false" ht="15" hidden="false" customHeight="true" outlineLevel="0" collapsed="false">
      <c r="A62" s="53" t="s">
        <v>308</v>
      </c>
      <c r="B62" s="66" t="n">
        <f aca="false">'WCAG - IT Experts'!H40</f>
        <v>4.15416666666667</v>
      </c>
      <c r="C62" s="66"/>
      <c r="D62" s="67" t="str">
        <f aca="false">IF('WCAG - IT Experts'!H40&gt;='Scoring Rubrics'!$A$78,'Scoring Rubrics'!$C$78,IF('WCAG - IT Experts'!H40&gt;='Scoring Rubrics'!$A$79,'Scoring Rubrics'!$C$79,IF('WCAG - IT Experts'!H40&gt;='Scoring Rubrics'!$A$80,'Scoring Rubrics'!$C$80,IF('WCAG - IT Experts'!H40&gt;='Scoring Rubrics'!$A$81,'Scoring Rubrics'!$C$81,'Scoring Rubrics'!$C$82))))</f>
        <v>Accessible</v>
      </c>
      <c r="E62" s="67"/>
      <c r="F62" s="67"/>
      <c r="G62" s="67"/>
      <c r="H62" s="67"/>
    </row>
    <row r="63" customFormat="false" ht="39.75" hidden="false" customHeight="true" outlineLevel="0" collapsed="false">
      <c r="A63" s="64" t="s">
        <v>374</v>
      </c>
      <c r="B63" s="64"/>
      <c r="C63" s="64"/>
      <c r="D63" s="64"/>
      <c r="E63" s="64"/>
      <c r="F63" s="64"/>
      <c r="G63" s="64"/>
      <c r="H63" s="64"/>
    </row>
  </sheetData>
  <mergeCells count="59">
    <mergeCell ref="A2:M2"/>
    <mergeCell ref="A3:A4"/>
    <mergeCell ref="B3:C3"/>
    <mergeCell ref="D3:E3"/>
    <mergeCell ref="F3:G3"/>
    <mergeCell ref="H3:I3"/>
    <mergeCell ref="J3:K3"/>
    <mergeCell ref="L3:L4"/>
    <mergeCell ref="M3:M4"/>
    <mergeCell ref="O4:P9"/>
    <mergeCell ref="A8:K8"/>
    <mergeCell ref="A9:M9"/>
    <mergeCell ref="A13:M13"/>
    <mergeCell ref="A14:A15"/>
    <mergeCell ref="B14:C14"/>
    <mergeCell ref="D14:E14"/>
    <mergeCell ref="F14:G14"/>
    <mergeCell ref="H14:I14"/>
    <mergeCell ref="J14:K14"/>
    <mergeCell ref="L14:L15"/>
    <mergeCell ref="M14:M15"/>
    <mergeCell ref="A20:K20"/>
    <mergeCell ref="A21:M21"/>
    <mergeCell ref="A25:M25"/>
    <mergeCell ref="A26:A27"/>
    <mergeCell ref="B26:C26"/>
    <mergeCell ref="D26:E26"/>
    <mergeCell ref="F26:G26"/>
    <mergeCell ref="H26:I26"/>
    <mergeCell ref="J26:K26"/>
    <mergeCell ref="L26:L27"/>
    <mergeCell ref="M26:M27"/>
    <mergeCell ref="A37:K37"/>
    <mergeCell ref="A38:M38"/>
    <mergeCell ref="A42:M42"/>
    <mergeCell ref="A43:A44"/>
    <mergeCell ref="B43:C43"/>
    <mergeCell ref="D43:E43"/>
    <mergeCell ref="F43:G43"/>
    <mergeCell ref="H43:I43"/>
    <mergeCell ref="J43:K43"/>
    <mergeCell ref="L43:L44"/>
    <mergeCell ref="M43:M44"/>
    <mergeCell ref="A51:K51"/>
    <mergeCell ref="A52:M52"/>
    <mergeCell ref="A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1:C61"/>
    <mergeCell ref="D61:H61"/>
    <mergeCell ref="B62:C62"/>
    <mergeCell ref="D62:H62"/>
    <mergeCell ref="A63:H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0"/>
  <sheetViews>
    <sheetView showFormulas="false" showGridLines="false" showRowColHeaders="true" showZeros="true" rightToLeft="false" tabSelected="false" showOutlineSymbols="true" defaultGridColor="true" view="normal" topLeftCell="A1" colorId="64" zoomScale="82" zoomScaleNormal="82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S8" activeCellId="0" sqref="S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2" min="3" style="1" width="5.18"/>
    <col collapsed="false" customWidth="true" hidden="false" outlineLevel="0" max="33" min="33" style="1" width="8"/>
    <col collapsed="false" customWidth="true" hidden="false" outlineLevel="0" max="38" min="34" style="1" width="7.45"/>
  </cols>
  <sheetData>
    <row r="1" customFormat="false" ht="15.75" hidden="false" customHeight="true" outlineLevel="0" collapsed="false">
      <c r="A1" s="22" t="s">
        <v>383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customFormat="false" ht="15" hidden="false" customHeight="true" outlineLevel="0" collapsed="false">
      <c r="A2" s="23" t="s">
        <v>333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customFormat="false" ht="15" hidden="false" customHeight="true" outlineLevel="0" collapsed="false">
      <c r="A3" s="24" t="s">
        <v>223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5" customFormat="false" ht="27.75" hidden="false" customHeight="true" outlineLevel="0" collapsed="false">
      <c r="A5" s="17" t="s">
        <v>167</v>
      </c>
      <c r="B5" s="17" t="s">
        <v>168</v>
      </c>
      <c r="C5" s="17" t="s">
        <v>169</v>
      </c>
      <c r="D5" s="17" t="s">
        <v>170</v>
      </c>
      <c r="E5" s="17" t="s">
        <v>171</v>
      </c>
      <c r="F5" s="17" t="s">
        <v>172</v>
      </c>
      <c r="G5" s="17" t="s">
        <v>173</v>
      </c>
      <c r="H5" s="17" t="s">
        <v>224</v>
      </c>
      <c r="I5" s="17" t="s">
        <v>225</v>
      </c>
      <c r="J5" s="17" t="s">
        <v>226</v>
      </c>
      <c r="K5" s="17" t="s">
        <v>227</v>
      </c>
      <c r="L5" s="17" t="s">
        <v>228</v>
      </c>
      <c r="M5" s="17" t="s">
        <v>229</v>
      </c>
      <c r="N5" s="17" t="s">
        <v>230</v>
      </c>
      <c r="O5" s="17" t="s">
        <v>231</v>
      </c>
      <c r="P5" s="17" t="s">
        <v>232</v>
      </c>
      <c r="Q5" s="17" t="s">
        <v>233</v>
      </c>
      <c r="R5" s="17" t="s">
        <v>234</v>
      </c>
      <c r="S5" s="17" t="s">
        <v>235</v>
      </c>
      <c r="T5" s="17" t="s">
        <v>236</v>
      </c>
      <c r="U5" s="17" t="s">
        <v>237</v>
      </c>
      <c r="V5" s="17" t="s">
        <v>238</v>
      </c>
      <c r="W5" s="17" t="s">
        <v>239</v>
      </c>
      <c r="X5" s="17" t="s">
        <v>240</v>
      </c>
      <c r="Y5" s="17" t="s">
        <v>241</v>
      </c>
      <c r="Z5" s="17" t="s">
        <v>242</v>
      </c>
      <c r="AA5" s="17" t="s">
        <v>243</v>
      </c>
      <c r="AB5" s="17" t="s">
        <v>244</v>
      </c>
      <c r="AC5" s="17" t="s">
        <v>245</v>
      </c>
      <c r="AD5" s="17" t="s">
        <v>246</v>
      </c>
      <c r="AE5" s="17" t="s">
        <v>247</v>
      </c>
      <c r="AF5" s="17" t="s">
        <v>248</v>
      </c>
      <c r="AG5" s="17" t="s">
        <v>174</v>
      </c>
      <c r="AH5" s="17" t="s">
        <v>334</v>
      </c>
      <c r="AI5" s="17" t="s">
        <v>250</v>
      </c>
      <c r="AJ5" s="17" t="s">
        <v>335</v>
      </c>
      <c r="AK5" s="17" t="s">
        <v>336</v>
      </c>
      <c r="AL5" s="17" t="s">
        <v>337</v>
      </c>
    </row>
    <row r="6" customFormat="false" ht="15" hidden="false" customHeight="true" outlineLevel="0" collapsed="false">
      <c r="A6" s="25" t="s">
        <v>338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40.5" hidden="false" customHeight="true" outlineLevel="0" collapsed="false">
      <c r="A7" s="26" t="n">
        <v>1</v>
      </c>
      <c r="B7" s="27" t="s">
        <v>339</v>
      </c>
      <c r="C7" s="28" t="n">
        <v>3</v>
      </c>
      <c r="D7" s="28" t="n">
        <v>5</v>
      </c>
      <c r="E7" s="28" t="n">
        <v>5</v>
      </c>
      <c r="F7" s="28" t="n">
        <v>5</v>
      </c>
      <c r="G7" s="28" t="n">
        <v>5</v>
      </c>
      <c r="H7" s="28" t="n">
        <v>5</v>
      </c>
      <c r="I7" s="28" t="n">
        <v>5</v>
      </c>
      <c r="J7" s="28" t="n">
        <v>5</v>
      </c>
      <c r="K7" s="28" t="n">
        <v>5</v>
      </c>
      <c r="L7" s="28" t="n">
        <v>4</v>
      </c>
      <c r="M7" s="28" t="n">
        <v>5</v>
      </c>
      <c r="N7" s="28" t="n">
        <v>5</v>
      </c>
      <c r="O7" s="28" t="n">
        <v>4</v>
      </c>
      <c r="P7" s="28" t="n">
        <v>4</v>
      </c>
      <c r="Q7" s="28" t="n">
        <v>3</v>
      </c>
      <c r="R7" s="28" t="n">
        <v>4</v>
      </c>
      <c r="S7" s="28" t="n">
        <v>4</v>
      </c>
      <c r="T7" s="28" t="n">
        <v>4</v>
      </c>
      <c r="U7" s="28" t="n">
        <v>4</v>
      </c>
      <c r="V7" s="28" t="n">
        <v>5</v>
      </c>
      <c r="W7" s="28" t="n">
        <v>5</v>
      </c>
      <c r="X7" s="28" t="n">
        <v>4</v>
      </c>
      <c r="Y7" s="28" t="n">
        <v>5</v>
      </c>
      <c r="Z7" s="28" t="n">
        <v>5</v>
      </c>
      <c r="AA7" s="28" t="n">
        <v>5</v>
      </c>
      <c r="AB7" s="28" t="n">
        <v>5</v>
      </c>
      <c r="AC7" s="28" t="n">
        <v>5</v>
      </c>
      <c r="AD7" s="28" t="n">
        <v>5</v>
      </c>
      <c r="AE7" s="28" t="n">
        <v>5</v>
      </c>
      <c r="AF7" s="28" t="n">
        <v>5</v>
      </c>
      <c r="AG7" s="29" t="n">
        <f aca="false">(5*AH7+4*AI7+3*AJ7+2*AK7+1*AL7)/SUM(AH7:AL7)</f>
        <v>4.6</v>
      </c>
      <c r="AH7" s="26" t="n">
        <f aca="false">COUNTIF(C7:AF7,5)</f>
        <v>20</v>
      </c>
      <c r="AI7" s="26" t="n">
        <f aca="false">COUNTIF(C7:AF7,4)</f>
        <v>8</v>
      </c>
      <c r="AJ7" s="26" t="n">
        <f aca="false">COUNTIF(C7:AF7,3)</f>
        <v>2</v>
      </c>
      <c r="AK7" s="26" t="n">
        <f aca="false">COUNTIF(C7:AF7,2)</f>
        <v>0</v>
      </c>
      <c r="AL7" s="26" t="n">
        <f aca="false">COUNTIF(C7:AF7,1)</f>
        <v>0</v>
      </c>
    </row>
    <row r="8" customFormat="false" ht="40.5" hidden="false" customHeight="true" outlineLevel="0" collapsed="false">
      <c r="A8" s="26" t="n">
        <v>2</v>
      </c>
      <c r="B8" s="27" t="s">
        <v>340</v>
      </c>
      <c r="C8" s="28" t="n">
        <v>5</v>
      </c>
      <c r="D8" s="28" t="n">
        <v>5</v>
      </c>
      <c r="E8" s="28" t="n">
        <v>5</v>
      </c>
      <c r="F8" s="28" t="n">
        <v>5</v>
      </c>
      <c r="G8" s="28" t="n">
        <v>5</v>
      </c>
      <c r="H8" s="28" t="n">
        <v>5</v>
      </c>
      <c r="I8" s="28" t="n">
        <v>5</v>
      </c>
      <c r="J8" s="28" t="n">
        <v>5</v>
      </c>
      <c r="K8" s="28" t="n">
        <v>5</v>
      </c>
      <c r="L8" s="28" t="n">
        <v>3</v>
      </c>
      <c r="M8" s="28" t="n">
        <v>5</v>
      </c>
      <c r="N8" s="28" t="n">
        <v>5</v>
      </c>
      <c r="O8" s="28" t="n">
        <v>4</v>
      </c>
      <c r="P8" s="28" t="n">
        <v>5</v>
      </c>
      <c r="Q8" s="28" t="n">
        <v>4</v>
      </c>
      <c r="R8" s="28" t="n">
        <v>4</v>
      </c>
      <c r="S8" s="28" t="n">
        <v>4</v>
      </c>
      <c r="T8" s="28" t="n">
        <v>4</v>
      </c>
      <c r="U8" s="28" t="n">
        <v>4</v>
      </c>
      <c r="V8" s="28" t="n">
        <v>5</v>
      </c>
      <c r="W8" s="28" t="n">
        <v>5</v>
      </c>
      <c r="X8" s="28" t="n">
        <v>5</v>
      </c>
      <c r="Y8" s="28" t="n">
        <v>5</v>
      </c>
      <c r="Z8" s="28" t="n">
        <v>5</v>
      </c>
      <c r="AA8" s="28" t="n">
        <v>5</v>
      </c>
      <c r="AB8" s="28" t="n">
        <v>5</v>
      </c>
      <c r="AC8" s="28" t="n">
        <v>5</v>
      </c>
      <c r="AD8" s="28" t="n">
        <v>5</v>
      </c>
      <c r="AE8" s="28" t="n">
        <v>5</v>
      </c>
      <c r="AF8" s="28" t="n">
        <v>5</v>
      </c>
      <c r="AG8" s="29" t="n">
        <f aca="false">(5*AH8+4*AI8+3*AJ8+2*AK8+1*AL8)/SUM(AH8:AL8)</f>
        <v>4.73333333333333</v>
      </c>
      <c r="AH8" s="26" t="n">
        <f aca="false">COUNTIF(C8:AF8,5)</f>
        <v>23</v>
      </c>
      <c r="AI8" s="26" t="n">
        <f aca="false">COUNTIF(C8:AF8,4)</f>
        <v>6</v>
      </c>
      <c r="AJ8" s="26" t="n">
        <f aca="false">COUNTIF(C8:AF8,3)</f>
        <v>1</v>
      </c>
      <c r="AK8" s="26" t="n">
        <f aca="false">COUNTIF(C8:AF8,2)</f>
        <v>0</v>
      </c>
      <c r="AL8" s="26" t="n">
        <f aca="false">COUNTIF(C8:AF8,1)</f>
        <v>0</v>
      </c>
    </row>
    <row r="9" customFormat="false" ht="40.5" hidden="false" customHeight="true" outlineLevel="0" collapsed="false">
      <c r="A9" s="26" t="n">
        <v>3</v>
      </c>
      <c r="B9" s="27" t="s">
        <v>341</v>
      </c>
      <c r="C9" s="28" t="n">
        <v>5</v>
      </c>
      <c r="D9" s="28" t="n">
        <v>5</v>
      </c>
      <c r="E9" s="28" t="n">
        <v>5</v>
      </c>
      <c r="F9" s="28" t="n">
        <v>5</v>
      </c>
      <c r="G9" s="28" t="n">
        <v>5</v>
      </c>
      <c r="H9" s="28" t="n">
        <v>5</v>
      </c>
      <c r="I9" s="28" t="n">
        <v>5</v>
      </c>
      <c r="J9" s="28" t="n">
        <v>5</v>
      </c>
      <c r="K9" s="28" t="n">
        <v>5</v>
      </c>
      <c r="L9" s="28" t="n">
        <v>3</v>
      </c>
      <c r="M9" s="28" t="n">
        <v>5</v>
      </c>
      <c r="N9" s="28" t="n">
        <v>5</v>
      </c>
      <c r="O9" s="28" t="n">
        <v>4</v>
      </c>
      <c r="P9" s="28" t="n">
        <v>5</v>
      </c>
      <c r="Q9" s="28" t="n">
        <v>4</v>
      </c>
      <c r="R9" s="28" t="n">
        <v>4</v>
      </c>
      <c r="S9" s="28" t="n">
        <v>4</v>
      </c>
      <c r="T9" s="28" t="n">
        <v>4</v>
      </c>
      <c r="U9" s="28" t="n">
        <v>4</v>
      </c>
      <c r="V9" s="28" t="n">
        <v>5</v>
      </c>
      <c r="W9" s="28" t="n">
        <v>5</v>
      </c>
      <c r="X9" s="28" t="n">
        <v>5</v>
      </c>
      <c r="Y9" s="28" t="n">
        <v>5</v>
      </c>
      <c r="Z9" s="28" t="n">
        <v>5</v>
      </c>
      <c r="AA9" s="28" t="n">
        <v>5</v>
      </c>
      <c r="AB9" s="28" t="n">
        <v>5</v>
      </c>
      <c r="AC9" s="28" t="n">
        <v>4</v>
      </c>
      <c r="AD9" s="28" t="n">
        <v>5</v>
      </c>
      <c r="AE9" s="28" t="n">
        <v>5</v>
      </c>
      <c r="AF9" s="28" t="n">
        <v>5</v>
      </c>
      <c r="AG9" s="29" t="n">
        <f aca="false">(5*AH9+4*AI9+3*AJ9+2*AK9+1*AL9)/SUM(AH9:AL9)</f>
        <v>4.7</v>
      </c>
      <c r="AH9" s="26" t="n">
        <f aca="false">COUNTIF(C9:AF9,5)</f>
        <v>22</v>
      </c>
      <c r="AI9" s="26" t="n">
        <f aca="false">COUNTIF(C9:AF9,4)</f>
        <v>7</v>
      </c>
      <c r="AJ9" s="26" t="n">
        <f aca="false">COUNTIF(C9:AF9,3)</f>
        <v>1</v>
      </c>
      <c r="AK9" s="26" t="n">
        <f aca="false">COUNTIF(C9:AF9,2)</f>
        <v>0</v>
      </c>
      <c r="AL9" s="26" t="n">
        <f aca="false">COUNTIF(C9:AF9,1)</f>
        <v>0</v>
      </c>
    </row>
    <row r="10" customFormat="false" ht="15" hidden="false" customHeight="true" outlineLevel="0" collapsed="false">
      <c r="A10" s="51" t="s">
        <v>342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31" t="n">
        <f aca="false">AVERAGE(AG7:AG9)</f>
        <v>4.67777777777778</v>
      </c>
      <c r="AH10" s="32"/>
      <c r="AI10" s="32"/>
      <c r="AJ10" s="32"/>
      <c r="AK10" s="32"/>
      <c r="AL10" s="32"/>
    </row>
    <row r="12" customFormat="false" ht="15" hidden="false" customHeight="true" outlineLevel="0" collapsed="false">
      <c r="A12" s="25" t="s">
        <v>343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40.5" hidden="false" customHeight="true" outlineLevel="0" collapsed="false">
      <c r="A13" s="26" t="n">
        <v>4</v>
      </c>
      <c r="B13" s="27" t="s">
        <v>344</v>
      </c>
      <c r="C13" s="28" t="n">
        <v>5</v>
      </c>
      <c r="D13" s="28" t="n">
        <v>5</v>
      </c>
      <c r="E13" s="28" t="n">
        <v>5</v>
      </c>
      <c r="F13" s="28" t="n">
        <v>5</v>
      </c>
      <c r="G13" s="28" t="n">
        <v>5</v>
      </c>
      <c r="H13" s="28" t="n">
        <v>5</v>
      </c>
      <c r="I13" s="28" t="n">
        <v>5</v>
      </c>
      <c r="J13" s="28" t="n">
        <v>5</v>
      </c>
      <c r="K13" s="28" t="n">
        <v>5</v>
      </c>
      <c r="L13" s="28" t="n">
        <v>4</v>
      </c>
      <c r="M13" s="28" t="n">
        <v>5</v>
      </c>
      <c r="N13" s="28" t="n">
        <v>5</v>
      </c>
      <c r="O13" s="28" t="n">
        <v>5</v>
      </c>
      <c r="P13" s="28" t="n">
        <v>5</v>
      </c>
      <c r="Q13" s="28" t="n">
        <v>4</v>
      </c>
      <c r="R13" s="28" t="n">
        <v>4</v>
      </c>
      <c r="S13" s="28" t="n">
        <v>4</v>
      </c>
      <c r="T13" s="28" t="n">
        <v>3</v>
      </c>
      <c r="U13" s="28" t="n">
        <v>4</v>
      </c>
      <c r="V13" s="28" t="n">
        <v>5</v>
      </c>
      <c r="W13" s="28" t="n">
        <v>5</v>
      </c>
      <c r="X13" s="28" t="n">
        <v>5</v>
      </c>
      <c r="Y13" s="28" t="n">
        <v>5</v>
      </c>
      <c r="Z13" s="28" t="n">
        <v>5</v>
      </c>
      <c r="AA13" s="28" t="n">
        <v>5</v>
      </c>
      <c r="AB13" s="28" t="n">
        <v>5</v>
      </c>
      <c r="AC13" s="28" t="n">
        <v>4</v>
      </c>
      <c r="AD13" s="28" t="n">
        <v>5</v>
      </c>
      <c r="AE13" s="28" t="n">
        <v>5</v>
      </c>
      <c r="AF13" s="28" t="n">
        <v>5</v>
      </c>
      <c r="AG13" s="29" t="n">
        <f aca="false">(5*AH13+4*AI13+3*AJ13+2*AK13+1*AL13)/SUM(AH13:AL13)</f>
        <v>4.73333333333333</v>
      </c>
      <c r="AH13" s="26" t="n">
        <f aca="false">COUNTIF(C13:AF13,5)</f>
        <v>23</v>
      </c>
      <c r="AI13" s="26" t="n">
        <f aca="false">COUNTIF(C13:AF13,4)</f>
        <v>6</v>
      </c>
      <c r="AJ13" s="26" t="n">
        <f aca="false">COUNTIF(C13:AF13,3)</f>
        <v>1</v>
      </c>
      <c r="AK13" s="26" t="n">
        <f aca="false">COUNTIF(C13:AF13,2)</f>
        <v>0</v>
      </c>
      <c r="AL13" s="26" t="n">
        <f aca="false">COUNTIF(C13:AF13,1)</f>
        <v>0</v>
      </c>
    </row>
    <row r="14" customFormat="false" ht="40.5" hidden="false" customHeight="true" outlineLevel="0" collapsed="false">
      <c r="A14" s="26" t="n">
        <v>5</v>
      </c>
      <c r="B14" s="27" t="s">
        <v>345</v>
      </c>
      <c r="C14" s="28" t="n">
        <v>5</v>
      </c>
      <c r="D14" s="28" t="n">
        <v>5</v>
      </c>
      <c r="E14" s="28" t="n">
        <v>5</v>
      </c>
      <c r="F14" s="28" t="n">
        <v>5</v>
      </c>
      <c r="G14" s="28" t="n">
        <v>5</v>
      </c>
      <c r="H14" s="28" t="n">
        <v>5</v>
      </c>
      <c r="I14" s="28" t="n">
        <v>5</v>
      </c>
      <c r="J14" s="28" t="n">
        <v>5</v>
      </c>
      <c r="K14" s="28" t="n">
        <v>5</v>
      </c>
      <c r="L14" s="28" t="n">
        <v>3</v>
      </c>
      <c r="M14" s="28" t="n">
        <v>5</v>
      </c>
      <c r="N14" s="28" t="n">
        <v>5</v>
      </c>
      <c r="O14" s="28" t="n">
        <v>4</v>
      </c>
      <c r="P14" s="28" t="n">
        <v>5</v>
      </c>
      <c r="Q14" s="28" t="n">
        <v>3</v>
      </c>
      <c r="R14" s="28" t="n">
        <v>4</v>
      </c>
      <c r="S14" s="28" t="n">
        <v>4</v>
      </c>
      <c r="T14" s="28" t="n">
        <v>3</v>
      </c>
      <c r="U14" s="28" t="n">
        <v>4</v>
      </c>
      <c r="V14" s="28" t="n">
        <v>5</v>
      </c>
      <c r="W14" s="28" t="n">
        <v>5</v>
      </c>
      <c r="X14" s="28" t="n">
        <v>5</v>
      </c>
      <c r="Y14" s="28" t="n">
        <v>5</v>
      </c>
      <c r="Z14" s="28" t="n">
        <v>5</v>
      </c>
      <c r="AA14" s="28" t="n">
        <v>5</v>
      </c>
      <c r="AB14" s="28" t="n">
        <v>5</v>
      </c>
      <c r="AC14" s="28" t="n">
        <v>4</v>
      </c>
      <c r="AD14" s="28" t="n">
        <v>5</v>
      </c>
      <c r="AE14" s="28" t="n">
        <v>5</v>
      </c>
      <c r="AF14" s="28" t="n">
        <v>5</v>
      </c>
      <c r="AG14" s="29" t="n">
        <f aca="false">(5*AH14+4*AI14+3*AJ14+2*AK14+1*AL14)/SUM(AH14:AL14)</f>
        <v>4.63333333333333</v>
      </c>
      <c r="AH14" s="26" t="n">
        <f aca="false">COUNTIF(C14:AF14,5)</f>
        <v>22</v>
      </c>
      <c r="AI14" s="26" t="n">
        <f aca="false">COUNTIF(C14:AF14,4)</f>
        <v>5</v>
      </c>
      <c r="AJ14" s="26" t="n">
        <f aca="false">COUNTIF(C14:AF14,3)</f>
        <v>3</v>
      </c>
      <c r="AK14" s="26" t="n">
        <f aca="false">COUNTIF(C14:AF14,2)</f>
        <v>0</v>
      </c>
      <c r="AL14" s="26" t="n">
        <f aca="false">COUNTIF(C14:AF14,1)</f>
        <v>0</v>
      </c>
    </row>
    <row r="15" customFormat="false" ht="40.5" hidden="false" customHeight="true" outlineLevel="0" collapsed="false">
      <c r="A15" s="26" t="n">
        <v>6</v>
      </c>
      <c r="B15" s="27" t="s">
        <v>346</v>
      </c>
      <c r="C15" s="28" t="n">
        <v>5</v>
      </c>
      <c r="D15" s="28" t="n">
        <v>5</v>
      </c>
      <c r="E15" s="28" t="n">
        <v>5</v>
      </c>
      <c r="F15" s="28" t="n">
        <v>5</v>
      </c>
      <c r="G15" s="28" t="n">
        <v>5</v>
      </c>
      <c r="H15" s="28" t="n">
        <v>5</v>
      </c>
      <c r="I15" s="28" t="n">
        <v>5</v>
      </c>
      <c r="J15" s="28" t="n">
        <v>5</v>
      </c>
      <c r="K15" s="28" t="n">
        <v>5</v>
      </c>
      <c r="L15" s="28" t="n">
        <v>4</v>
      </c>
      <c r="M15" s="28" t="n">
        <v>5</v>
      </c>
      <c r="N15" s="28" t="n">
        <v>5</v>
      </c>
      <c r="O15" s="28" t="n">
        <v>4</v>
      </c>
      <c r="P15" s="28" t="n">
        <v>5</v>
      </c>
      <c r="Q15" s="28" t="n">
        <v>3</v>
      </c>
      <c r="R15" s="28" t="n">
        <v>4</v>
      </c>
      <c r="S15" s="28" t="n">
        <v>4</v>
      </c>
      <c r="T15" s="28" t="n">
        <v>4</v>
      </c>
      <c r="U15" s="28" t="n">
        <v>4</v>
      </c>
      <c r="V15" s="28" t="n">
        <v>5</v>
      </c>
      <c r="W15" s="28" t="n">
        <v>5</v>
      </c>
      <c r="X15" s="28" t="n">
        <v>5</v>
      </c>
      <c r="Y15" s="28" t="n">
        <v>5</v>
      </c>
      <c r="Z15" s="28" t="n">
        <v>5</v>
      </c>
      <c r="AA15" s="28" t="n">
        <v>5</v>
      </c>
      <c r="AB15" s="28" t="n">
        <v>5</v>
      </c>
      <c r="AC15" s="28" t="n">
        <v>5</v>
      </c>
      <c r="AD15" s="28" t="n">
        <v>5</v>
      </c>
      <c r="AE15" s="28" t="n">
        <v>5</v>
      </c>
      <c r="AF15" s="28" t="n">
        <v>5</v>
      </c>
      <c r="AG15" s="29" t="n">
        <f aca="false">(5*AH15+4*AI15+3*AJ15+2*AK15+1*AL15)/SUM(AH15:AL15)</f>
        <v>4.73333333333333</v>
      </c>
      <c r="AH15" s="26" t="n">
        <f aca="false">COUNTIF(C15:AF15,5)</f>
        <v>23</v>
      </c>
      <c r="AI15" s="26" t="n">
        <f aca="false">COUNTIF(C15:AF15,4)</f>
        <v>6</v>
      </c>
      <c r="AJ15" s="26" t="n">
        <f aca="false">COUNTIF(C15:AF15,3)</f>
        <v>1</v>
      </c>
      <c r="AK15" s="26" t="n">
        <f aca="false">COUNTIF(C15:AF15,2)</f>
        <v>0</v>
      </c>
      <c r="AL15" s="26" t="n">
        <f aca="false">COUNTIF(C15:AF15,1)</f>
        <v>0</v>
      </c>
    </row>
    <row r="16" customFormat="false" ht="40.5" hidden="false" customHeight="true" outlineLevel="0" collapsed="false">
      <c r="A16" s="26" t="n">
        <v>7</v>
      </c>
      <c r="B16" s="27" t="s">
        <v>347</v>
      </c>
      <c r="C16" s="28" t="n">
        <v>5</v>
      </c>
      <c r="D16" s="28" t="n">
        <v>5</v>
      </c>
      <c r="E16" s="28" t="n">
        <v>5</v>
      </c>
      <c r="F16" s="28" t="n">
        <v>5</v>
      </c>
      <c r="G16" s="28" t="n">
        <v>5</v>
      </c>
      <c r="H16" s="28" t="n">
        <v>5</v>
      </c>
      <c r="I16" s="28" t="n">
        <v>5</v>
      </c>
      <c r="J16" s="28" t="n">
        <v>5</v>
      </c>
      <c r="K16" s="28" t="n">
        <v>5</v>
      </c>
      <c r="L16" s="28" t="n">
        <v>5</v>
      </c>
      <c r="M16" s="28" t="n">
        <v>5</v>
      </c>
      <c r="N16" s="28" t="n">
        <v>5</v>
      </c>
      <c r="O16" s="28" t="n">
        <v>5</v>
      </c>
      <c r="P16" s="28" t="n">
        <v>4</v>
      </c>
      <c r="Q16" s="28" t="n">
        <v>5</v>
      </c>
      <c r="R16" s="28" t="n">
        <v>3</v>
      </c>
      <c r="S16" s="28" t="n">
        <v>4</v>
      </c>
      <c r="T16" s="28" t="n">
        <v>4</v>
      </c>
      <c r="U16" s="28" t="n">
        <v>4</v>
      </c>
      <c r="V16" s="28" t="n">
        <v>5</v>
      </c>
      <c r="W16" s="28" t="n">
        <v>5</v>
      </c>
      <c r="X16" s="28" t="n">
        <v>5</v>
      </c>
      <c r="Y16" s="28" t="n">
        <v>5</v>
      </c>
      <c r="Z16" s="28" t="n">
        <v>5</v>
      </c>
      <c r="AA16" s="28" t="n">
        <v>5</v>
      </c>
      <c r="AB16" s="28" t="n">
        <v>5</v>
      </c>
      <c r="AC16" s="28" t="n">
        <v>5</v>
      </c>
      <c r="AD16" s="28" t="n">
        <v>5</v>
      </c>
      <c r="AE16" s="28" t="n">
        <v>5</v>
      </c>
      <c r="AF16" s="28" t="n">
        <v>5</v>
      </c>
      <c r="AG16" s="29" t="n">
        <f aca="false">(5*AH16+4*AI16+3*AJ16+2*AK16+1*AL16)/SUM(AH16:AL16)</f>
        <v>4.8</v>
      </c>
      <c r="AH16" s="26" t="n">
        <f aca="false">COUNTIF(C16:AF16,5)</f>
        <v>25</v>
      </c>
      <c r="AI16" s="26" t="n">
        <f aca="false">COUNTIF(C16:AF16,4)</f>
        <v>4</v>
      </c>
      <c r="AJ16" s="26" t="n">
        <f aca="false">COUNTIF(C16:AF16,3)</f>
        <v>1</v>
      </c>
      <c r="AK16" s="26" t="n">
        <f aca="false">COUNTIF(C16:AF16,2)</f>
        <v>0</v>
      </c>
      <c r="AL16" s="26" t="n">
        <f aca="false">COUNTIF(C16:AF16,1)</f>
        <v>0</v>
      </c>
    </row>
    <row r="17" customFormat="false" ht="15" hidden="false" customHeight="true" outlineLevel="0" collapsed="false">
      <c r="A17" s="51" t="s">
        <v>348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31" t="n">
        <f aca="false">AVERAGE(AG13:AG16)</f>
        <v>4.725</v>
      </c>
      <c r="AH17" s="32"/>
      <c r="AI17" s="32"/>
      <c r="AJ17" s="32"/>
      <c r="AK17" s="32"/>
      <c r="AL17" s="32"/>
    </row>
    <row r="19" customFormat="false" ht="15" hidden="false" customHeight="true" outlineLevel="0" collapsed="false">
      <c r="A19" s="25" t="s">
        <v>349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40.5" hidden="false" customHeight="true" outlineLevel="0" collapsed="false">
      <c r="A20" s="26" t="n">
        <v>8</v>
      </c>
      <c r="B20" s="27" t="s">
        <v>350</v>
      </c>
      <c r="C20" s="28" t="n">
        <v>5</v>
      </c>
      <c r="D20" s="28" t="n">
        <v>5</v>
      </c>
      <c r="E20" s="28" t="n">
        <v>5</v>
      </c>
      <c r="F20" s="28" t="n">
        <v>5</v>
      </c>
      <c r="G20" s="28" t="n">
        <v>5</v>
      </c>
      <c r="H20" s="28" t="n">
        <v>5</v>
      </c>
      <c r="I20" s="28" t="n">
        <v>5</v>
      </c>
      <c r="J20" s="28" t="n">
        <v>4</v>
      </c>
      <c r="K20" s="28" t="n">
        <v>5</v>
      </c>
      <c r="L20" s="28" t="n">
        <v>5</v>
      </c>
      <c r="M20" s="28" t="n">
        <v>5</v>
      </c>
      <c r="N20" s="28" t="n">
        <v>5</v>
      </c>
      <c r="O20" s="28" t="n">
        <v>4</v>
      </c>
      <c r="P20" s="28" t="n">
        <v>4</v>
      </c>
      <c r="Q20" s="28" t="n">
        <v>3</v>
      </c>
      <c r="R20" s="28" t="n">
        <v>4</v>
      </c>
      <c r="S20" s="28" t="n">
        <v>4</v>
      </c>
      <c r="T20" s="28" t="n">
        <v>3</v>
      </c>
      <c r="U20" s="28" t="n">
        <v>4</v>
      </c>
      <c r="V20" s="28" t="n">
        <v>5</v>
      </c>
      <c r="W20" s="28" t="n">
        <v>5</v>
      </c>
      <c r="X20" s="28" t="n">
        <v>4</v>
      </c>
      <c r="Y20" s="28" t="n">
        <v>5</v>
      </c>
      <c r="Z20" s="28" t="n">
        <v>5</v>
      </c>
      <c r="AA20" s="28" t="n">
        <v>5</v>
      </c>
      <c r="AB20" s="28" t="n">
        <v>5</v>
      </c>
      <c r="AC20" s="28" t="n">
        <v>4</v>
      </c>
      <c r="AD20" s="28" t="n">
        <v>5</v>
      </c>
      <c r="AE20" s="28" t="n">
        <v>5</v>
      </c>
      <c r="AF20" s="28" t="n">
        <v>5</v>
      </c>
      <c r="AG20" s="29" t="n">
        <f aca="false">(5*AH20+4*AI20+3*AJ20+2*AK20+1*AL20)/SUM(AH20:AL20)</f>
        <v>4.6</v>
      </c>
      <c r="AH20" s="26" t="n">
        <f aca="false">COUNTIF(C20:AF20,5)</f>
        <v>20</v>
      </c>
      <c r="AI20" s="26" t="n">
        <f aca="false">COUNTIF(C20:AF20,4)</f>
        <v>8</v>
      </c>
      <c r="AJ20" s="26" t="n">
        <f aca="false">COUNTIF(C20:AF20,3)</f>
        <v>2</v>
      </c>
      <c r="AK20" s="26" t="n">
        <f aca="false">COUNTIF(C20:AF20,2)</f>
        <v>0</v>
      </c>
      <c r="AL20" s="26" t="n">
        <f aca="false">COUNTIF(C20:AF20,1)</f>
        <v>0</v>
      </c>
    </row>
    <row r="21" customFormat="false" ht="27" hidden="false" customHeight="true" outlineLevel="0" collapsed="false">
      <c r="A21" s="26" t="n">
        <v>9</v>
      </c>
      <c r="B21" s="27" t="s">
        <v>351</v>
      </c>
      <c r="C21" s="28" t="n">
        <v>5</v>
      </c>
      <c r="D21" s="28" t="n">
        <v>5</v>
      </c>
      <c r="E21" s="28" t="n">
        <v>5</v>
      </c>
      <c r="F21" s="28" t="n">
        <v>5</v>
      </c>
      <c r="G21" s="28" t="n">
        <v>5</v>
      </c>
      <c r="H21" s="28" t="n">
        <v>5</v>
      </c>
      <c r="I21" s="28" t="n">
        <v>5</v>
      </c>
      <c r="J21" s="28" t="n">
        <v>5</v>
      </c>
      <c r="K21" s="28" t="n">
        <v>5</v>
      </c>
      <c r="L21" s="28" t="n">
        <v>3</v>
      </c>
      <c r="M21" s="28" t="n">
        <v>5</v>
      </c>
      <c r="N21" s="28" t="n">
        <v>5</v>
      </c>
      <c r="O21" s="28" t="n">
        <v>4</v>
      </c>
      <c r="P21" s="28" t="n">
        <v>5</v>
      </c>
      <c r="Q21" s="28" t="n">
        <v>3</v>
      </c>
      <c r="R21" s="28" t="n">
        <v>3</v>
      </c>
      <c r="S21" s="28" t="n">
        <v>4</v>
      </c>
      <c r="T21" s="28" t="n">
        <v>3</v>
      </c>
      <c r="U21" s="28" t="n">
        <v>4</v>
      </c>
      <c r="V21" s="28" t="n">
        <v>5</v>
      </c>
      <c r="W21" s="28" t="n">
        <v>3</v>
      </c>
      <c r="X21" s="28" t="n">
        <v>5</v>
      </c>
      <c r="Y21" s="28" t="n">
        <v>5</v>
      </c>
      <c r="Z21" s="28" t="n">
        <v>3</v>
      </c>
      <c r="AA21" s="28" t="n">
        <v>5</v>
      </c>
      <c r="AB21" s="28" t="n">
        <v>5</v>
      </c>
      <c r="AC21" s="28" t="n">
        <v>4</v>
      </c>
      <c r="AD21" s="28" t="n">
        <v>5</v>
      </c>
      <c r="AE21" s="28" t="n">
        <v>4</v>
      </c>
      <c r="AF21" s="28" t="n">
        <v>5</v>
      </c>
      <c r="AG21" s="29" t="n">
        <f aca="false">(5*AH21+4*AI21+3*AJ21+2*AK21+1*AL21)/SUM(AH21:AL21)</f>
        <v>4.43333333333333</v>
      </c>
      <c r="AH21" s="26" t="n">
        <f aca="false">COUNTIF(C21:AF21,5)</f>
        <v>19</v>
      </c>
      <c r="AI21" s="26" t="n">
        <f aca="false">COUNTIF(C21:AF21,4)</f>
        <v>5</v>
      </c>
      <c r="AJ21" s="26" t="n">
        <f aca="false">COUNTIF(C21:AF21,3)</f>
        <v>6</v>
      </c>
      <c r="AK21" s="26" t="n">
        <f aca="false">COUNTIF(C21:AF21,2)</f>
        <v>0</v>
      </c>
      <c r="AL21" s="26" t="n">
        <f aca="false">COUNTIF(C21:AF21,1)</f>
        <v>0</v>
      </c>
    </row>
    <row r="22" customFormat="false" ht="40.5" hidden="false" customHeight="true" outlineLevel="0" collapsed="false">
      <c r="A22" s="26" t="n">
        <v>10</v>
      </c>
      <c r="B22" s="27" t="s">
        <v>352</v>
      </c>
      <c r="C22" s="28" t="n">
        <v>5</v>
      </c>
      <c r="D22" s="28" t="n">
        <v>5</v>
      </c>
      <c r="E22" s="28" t="n">
        <v>5</v>
      </c>
      <c r="F22" s="28" t="n">
        <v>5</v>
      </c>
      <c r="G22" s="28" t="n">
        <v>5</v>
      </c>
      <c r="H22" s="28" t="n">
        <v>5</v>
      </c>
      <c r="I22" s="28" t="n">
        <v>5</v>
      </c>
      <c r="J22" s="28" t="n">
        <v>5</v>
      </c>
      <c r="K22" s="28" t="n">
        <v>5</v>
      </c>
      <c r="L22" s="28" t="n">
        <v>5</v>
      </c>
      <c r="M22" s="28" t="n">
        <v>5</v>
      </c>
      <c r="N22" s="28" t="n">
        <v>5</v>
      </c>
      <c r="O22" s="28" t="n">
        <v>4</v>
      </c>
      <c r="P22" s="28" t="n">
        <v>5</v>
      </c>
      <c r="Q22" s="28" t="n">
        <v>2</v>
      </c>
      <c r="R22" s="28" t="n">
        <v>4</v>
      </c>
      <c r="S22" s="28" t="n">
        <v>5</v>
      </c>
      <c r="T22" s="28" t="n">
        <v>4</v>
      </c>
      <c r="U22" s="28" t="n">
        <v>4</v>
      </c>
      <c r="V22" s="28" t="n">
        <v>5</v>
      </c>
      <c r="W22" s="28" t="n">
        <v>5</v>
      </c>
      <c r="X22" s="28" t="n">
        <v>5</v>
      </c>
      <c r="Y22" s="28" t="n">
        <v>5</v>
      </c>
      <c r="Z22" s="28" t="n">
        <v>5</v>
      </c>
      <c r="AA22" s="28" t="n">
        <v>5</v>
      </c>
      <c r="AB22" s="28" t="n">
        <v>5</v>
      </c>
      <c r="AC22" s="28" t="n">
        <v>5</v>
      </c>
      <c r="AD22" s="28" t="n">
        <v>5</v>
      </c>
      <c r="AE22" s="28" t="n">
        <v>5</v>
      </c>
      <c r="AF22" s="28" t="n">
        <v>5</v>
      </c>
      <c r="AG22" s="29" t="n">
        <f aca="false">(5*AH22+4*AI22+3*AJ22+2*AK22+1*AL22)/SUM(AH22:AL22)</f>
        <v>4.76666666666667</v>
      </c>
      <c r="AH22" s="26" t="n">
        <f aca="false">COUNTIF(C22:AF22,5)</f>
        <v>25</v>
      </c>
      <c r="AI22" s="26" t="n">
        <f aca="false">COUNTIF(C22:AF22,4)</f>
        <v>4</v>
      </c>
      <c r="AJ22" s="26" t="n">
        <f aca="false">COUNTIF(C22:AF22,3)</f>
        <v>0</v>
      </c>
      <c r="AK22" s="26" t="n">
        <f aca="false">COUNTIF(C22:AF22,2)</f>
        <v>1</v>
      </c>
      <c r="AL22" s="26" t="n">
        <f aca="false">COUNTIF(C22:AF22,1)</f>
        <v>0</v>
      </c>
    </row>
    <row r="23" customFormat="false" ht="27" hidden="false" customHeight="true" outlineLevel="0" collapsed="false">
      <c r="A23" s="26" t="n">
        <v>11</v>
      </c>
      <c r="B23" s="27" t="s">
        <v>353</v>
      </c>
      <c r="C23" s="28" t="n">
        <v>5</v>
      </c>
      <c r="D23" s="28" t="n">
        <v>5</v>
      </c>
      <c r="E23" s="28" t="n">
        <v>5</v>
      </c>
      <c r="F23" s="28" t="n">
        <v>5</v>
      </c>
      <c r="G23" s="28" t="n">
        <v>5</v>
      </c>
      <c r="H23" s="28" t="n">
        <v>5</v>
      </c>
      <c r="I23" s="28" t="n">
        <v>5</v>
      </c>
      <c r="J23" s="28" t="n">
        <v>5</v>
      </c>
      <c r="K23" s="28" t="n">
        <v>5</v>
      </c>
      <c r="L23" s="28" t="n">
        <v>4</v>
      </c>
      <c r="M23" s="28" t="n">
        <v>5</v>
      </c>
      <c r="N23" s="28" t="n">
        <v>5</v>
      </c>
      <c r="O23" s="28" t="n">
        <v>5</v>
      </c>
      <c r="P23" s="28" t="n">
        <v>5</v>
      </c>
      <c r="Q23" s="28" t="n">
        <v>2</v>
      </c>
      <c r="R23" s="28" t="n">
        <v>4</v>
      </c>
      <c r="S23" s="28" t="n">
        <v>3</v>
      </c>
      <c r="T23" s="28" t="n">
        <v>3</v>
      </c>
      <c r="U23" s="28" t="n">
        <v>4</v>
      </c>
      <c r="V23" s="28" t="n">
        <v>5</v>
      </c>
      <c r="W23" s="28" t="n">
        <v>5</v>
      </c>
      <c r="X23" s="28" t="n">
        <v>5</v>
      </c>
      <c r="Y23" s="28" t="n">
        <v>5</v>
      </c>
      <c r="Z23" s="28" t="n">
        <v>5</v>
      </c>
      <c r="AA23" s="28" t="n">
        <v>5</v>
      </c>
      <c r="AB23" s="28" t="n">
        <v>5</v>
      </c>
      <c r="AC23" s="28" t="n">
        <v>5</v>
      </c>
      <c r="AD23" s="28" t="n">
        <v>5</v>
      </c>
      <c r="AE23" s="28" t="n">
        <v>5</v>
      </c>
      <c r="AF23" s="28" t="n">
        <v>5</v>
      </c>
      <c r="AG23" s="29" t="n">
        <f aca="false">(5*AH23+4*AI23+3*AJ23+2*AK23+1*AL23)/SUM(AH23:AL23)</f>
        <v>4.66666666666667</v>
      </c>
      <c r="AH23" s="26" t="n">
        <f aca="false">COUNTIF(C23:AF23,5)</f>
        <v>24</v>
      </c>
      <c r="AI23" s="26" t="n">
        <f aca="false">COUNTIF(C23:AF23,4)</f>
        <v>3</v>
      </c>
      <c r="AJ23" s="26" t="n">
        <f aca="false">COUNTIF(C23:AF23,3)</f>
        <v>2</v>
      </c>
      <c r="AK23" s="26" t="n">
        <f aca="false">COUNTIF(C23:AF23,2)</f>
        <v>1</v>
      </c>
      <c r="AL23" s="26" t="n">
        <f aca="false">COUNTIF(C23:AF23,1)</f>
        <v>0</v>
      </c>
    </row>
    <row r="24" customFormat="false" ht="27" hidden="false" customHeight="true" outlineLevel="0" collapsed="false">
      <c r="A24" s="26" t="n">
        <v>12</v>
      </c>
      <c r="B24" s="27" t="s">
        <v>354</v>
      </c>
      <c r="C24" s="28" t="n">
        <v>4</v>
      </c>
      <c r="D24" s="28" t="n">
        <v>5</v>
      </c>
      <c r="E24" s="28" t="n">
        <v>5</v>
      </c>
      <c r="F24" s="28" t="n">
        <v>5</v>
      </c>
      <c r="G24" s="28" t="n">
        <v>5</v>
      </c>
      <c r="H24" s="28" t="n">
        <v>5</v>
      </c>
      <c r="I24" s="28" t="n">
        <v>5</v>
      </c>
      <c r="J24" s="28" t="n">
        <v>5</v>
      </c>
      <c r="K24" s="28" t="n">
        <v>5</v>
      </c>
      <c r="L24" s="28" t="n">
        <v>4</v>
      </c>
      <c r="M24" s="28" t="n">
        <v>5</v>
      </c>
      <c r="N24" s="28" t="n">
        <v>5</v>
      </c>
      <c r="O24" s="28" t="n">
        <v>4</v>
      </c>
      <c r="P24" s="28" t="n">
        <v>5</v>
      </c>
      <c r="Q24" s="28" t="n">
        <v>3</v>
      </c>
      <c r="R24" s="28" t="n">
        <v>4</v>
      </c>
      <c r="S24" s="28" t="n">
        <v>3</v>
      </c>
      <c r="T24" s="28" t="n">
        <v>4</v>
      </c>
      <c r="U24" s="28" t="n">
        <v>5</v>
      </c>
      <c r="V24" s="28" t="n">
        <v>5</v>
      </c>
      <c r="W24" s="28" t="n">
        <v>5</v>
      </c>
      <c r="X24" s="28" t="n">
        <v>5</v>
      </c>
      <c r="Y24" s="28" t="n">
        <v>5</v>
      </c>
      <c r="Z24" s="28" t="n">
        <v>5</v>
      </c>
      <c r="AA24" s="28" t="n">
        <v>5</v>
      </c>
      <c r="AB24" s="28" t="n">
        <v>5</v>
      </c>
      <c r="AC24" s="28" t="n">
        <v>4</v>
      </c>
      <c r="AD24" s="28" t="n">
        <v>5</v>
      </c>
      <c r="AE24" s="28" t="n">
        <v>5</v>
      </c>
      <c r="AF24" s="28" t="n">
        <v>5</v>
      </c>
      <c r="AG24" s="29" t="n">
        <f aca="false">(5*AH24+4*AI24+3*AJ24+2*AK24+1*AL24)/SUM(AH24:AL24)</f>
        <v>4.66666666666667</v>
      </c>
      <c r="AH24" s="26" t="n">
        <f aca="false">COUNTIF(C24:AF24,5)</f>
        <v>22</v>
      </c>
      <c r="AI24" s="26" t="n">
        <f aca="false">COUNTIF(C24:AF24,4)</f>
        <v>6</v>
      </c>
      <c r="AJ24" s="26" t="n">
        <f aca="false">COUNTIF(C24:AF24,3)</f>
        <v>2</v>
      </c>
      <c r="AK24" s="26" t="n">
        <f aca="false">COUNTIF(C24:AF24,2)</f>
        <v>0</v>
      </c>
      <c r="AL24" s="26" t="n">
        <f aca="false">COUNTIF(C24:AF24,1)</f>
        <v>0</v>
      </c>
    </row>
    <row r="25" customFormat="false" ht="40.5" hidden="false" customHeight="true" outlineLevel="0" collapsed="false">
      <c r="A25" s="26" t="n">
        <v>13</v>
      </c>
      <c r="B25" s="27" t="s">
        <v>355</v>
      </c>
      <c r="C25" s="28" t="n">
        <v>5</v>
      </c>
      <c r="D25" s="28" t="n">
        <v>5</v>
      </c>
      <c r="E25" s="28" t="n">
        <v>5</v>
      </c>
      <c r="F25" s="28" t="n">
        <v>5</v>
      </c>
      <c r="G25" s="28" t="n">
        <v>5</v>
      </c>
      <c r="H25" s="28" t="n">
        <v>5</v>
      </c>
      <c r="I25" s="28" t="n">
        <v>5</v>
      </c>
      <c r="J25" s="28" t="n">
        <v>5</v>
      </c>
      <c r="K25" s="28" t="n">
        <v>5</v>
      </c>
      <c r="L25" s="28" t="n">
        <v>5</v>
      </c>
      <c r="M25" s="28" t="n">
        <v>5</v>
      </c>
      <c r="N25" s="28" t="n">
        <v>5</v>
      </c>
      <c r="O25" s="28" t="n">
        <v>4</v>
      </c>
      <c r="P25" s="28" t="n">
        <v>4</v>
      </c>
      <c r="Q25" s="28" t="n">
        <v>5</v>
      </c>
      <c r="R25" s="28" t="n">
        <v>4</v>
      </c>
      <c r="S25" s="28" t="n">
        <v>4</v>
      </c>
      <c r="T25" s="28" t="n">
        <v>4</v>
      </c>
      <c r="U25" s="28" t="n">
        <v>4</v>
      </c>
      <c r="V25" s="28" t="n">
        <v>5</v>
      </c>
      <c r="W25" s="28" t="n">
        <v>5</v>
      </c>
      <c r="X25" s="28" t="n">
        <v>5</v>
      </c>
      <c r="Y25" s="28" t="n">
        <v>5</v>
      </c>
      <c r="Z25" s="28" t="n">
        <v>5</v>
      </c>
      <c r="AA25" s="28" t="n">
        <v>5</v>
      </c>
      <c r="AB25" s="28" t="n">
        <v>5</v>
      </c>
      <c r="AC25" s="28" t="n">
        <v>4</v>
      </c>
      <c r="AD25" s="28" t="n">
        <v>5</v>
      </c>
      <c r="AE25" s="28" t="n">
        <v>5</v>
      </c>
      <c r="AF25" s="28" t="n">
        <v>5</v>
      </c>
      <c r="AG25" s="29" t="n">
        <f aca="false">(5*AH25+4*AI25+3*AJ25+2*AK25+1*AL25)/SUM(AH25:AL25)</f>
        <v>4.76666666666667</v>
      </c>
      <c r="AH25" s="26" t="n">
        <f aca="false">COUNTIF(C25:AF25,5)</f>
        <v>23</v>
      </c>
      <c r="AI25" s="26" t="n">
        <f aca="false">COUNTIF(C25:AF25,4)</f>
        <v>7</v>
      </c>
      <c r="AJ25" s="26" t="n">
        <f aca="false">COUNTIF(C25:AF25,3)</f>
        <v>0</v>
      </c>
      <c r="AK25" s="26" t="n">
        <f aca="false">COUNTIF(C25:AF25,2)</f>
        <v>0</v>
      </c>
      <c r="AL25" s="26" t="n">
        <f aca="false">COUNTIF(C25:AF25,1)</f>
        <v>0</v>
      </c>
    </row>
    <row r="26" customFormat="false" ht="40.5" hidden="false" customHeight="true" outlineLevel="0" collapsed="false">
      <c r="A26" s="26" t="n">
        <v>14</v>
      </c>
      <c r="B26" s="27" t="s">
        <v>356</v>
      </c>
      <c r="C26" s="28" t="n">
        <v>3</v>
      </c>
      <c r="D26" s="28" t="n">
        <v>5</v>
      </c>
      <c r="E26" s="28" t="n">
        <v>4</v>
      </c>
      <c r="F26" s="28" t="n">
        <v>5</v>
      </c>
      <c r="G26" s="28" t="n">
        <v>4</v>
      </c>
      <c r="H26" s="28" t="n">
        <v>4</v>
      </c>
      <c r="I26" s="28" t="n">
        <v>4</v>
      </c>
      <c r="J26" s="28" t="n">
        <v>2</v>
      </c>
      <c r="K26" s="28" t="n">
        <v>4</v>
      </c>
      <c r="L26" s="28" t="n">
        <v>2</v>
      </c>
      <c r="M26" s="28" t="n">
        <v>4</v>
      </c>
      <c r="N26" s="28" t="n">
        <v>4</v>
      </c>
      <c r="O26" s="28" t="n">
        <v>2</v>
      </c>
      <c r="P26" s="28" t="n">
        <v>5</v>
      </c>
      <c r="Q26" s="28" t="n">
        <v>1</v>
      </c>
      <c r="R26" s="28" t="n">
        <v>1</v>
      </c>
      <c r="S26" s="28" t="n">
        <v>1</v>
      </c>
      <c r="T26" s="28" t="n">
        <v>1</v>
      </c>
      <c r="U26" s="28" t="n">
        <v>4</v>
      </c>
      <c r="V26" s="28" t="n">
        <v>1</v>
      </c>
      <c r="W26" s="28" t="n">
        <v>1</v>
      </c>
      <c r="X26" s="28" t="n">
        <v>1</v>
      </c>
      <c r="Y26" s="28" t="n">
        <v>4</v>
      </c>
      <c r="Z26" s="28" t="n">
        <v>3</v>
      </c>
      <c r="AA26" s="28" t="n">
        <v>5</v>
      </c>
      <c r="AB26" s="28" t="n">
        <v>5</v>
      </c>
      <c r="AC26" s="28" t="n">
        <v>4</v>
      </c>
      <c r="AD26" s="28" t="n">
        <v>5</v>
      </c>
      <c r="AE26" s="28" t="n">
        <v>3</v>
      </c>
      <c r="AF26" s="28" t="n">
        <v>3</v>
      </c>
      <c r="AG26" s="29" t="n">
        <f aca="false">(5*AH26+4*AI26+3*AJ26+2*AK26+1*AL26)/SUM(AH26:AL26)</f>
        <v>3.16666666666667</v>
      </c>
      <c r="AH26" s="26" t="n">
        <f aca="false">COUNTIF(C26:AF26,5)</f>
        <v>6</v>
      </c>
      <c r="AI26" s="26" t="n">
        <f aca="false">COUNTIF(C26:AF26,4)</f>
        <v>10</v>
      </c>
      <c r="AJ26" s="26" t="n">
        <f aca="false">COUNTIF(C26:AF26,3)</f>
        <v>4</v>
      </c>
      <c r="AK26" s="26" t="n">
        <f aca="false">COUNTIF(C26:AF26,2)</f>
        <v>3</v>
      </c>
      <c r="AL26" s="26" t="n">
        <f aca="false">COUNTIF(C26:AF26,1)</f>
        <v>7</v>
      </c>
    </row>
    <row r="27" customFormat="false" ht="40.5" hidden="false" customHeight="true" outlineLevel="0" collapsed="false">
      <c r="A27" s="26" t="n">
        <v>15</v>
      </c>
      <c r="B27" s="27" t="s">
        <v>357</v>
      </c>
      <c r="C27" s="28" t="n">
        <v>5</v>
      </c>
      <c r="D27" s="28" t="n">
        <v>5</v>
      </c>
      <c r="E27" s="28" t="n">
        <v>5</v>
      </c>
      <c r="F27" s="28" t="n">
        <v>5</v>
      </c>
      <c r="G27" s="28" t="n">
        <v>5</v>
      </c>
      <c r="H27" s="28" t="n">
        <v>5</v>
      </c>
      <c r="I27" s="28" t="n">
        <v>5</v>
      </c>
      <c r="J27" s="28" t="n">
        <v>5</v>
      </c>
      <c r="K27" s="28" t="n">
        <v>5</v>
      </c>
      <c r="L27" s="28" t="n">
        <v>4</v>
      </c>
      <c r="M27" s="28" t="n">
        <v>5</v>
      </c>
      <c r="N27" s="28" t="n">
        <v>5</v>
      </c>
      <c r="O27" s="28" t="n">
        <v>4</v>
      </c>
      <c r="P27" s="28" t="n">
        <v>5</v>
      </c>
      <c r="Q27" s="28" t="n">
        <v>4</v>
      </c>
      <c r="R27" s="28" t="n">
        <v>4</v>
      </c>
      <c r="S27" s="28" t="n">
        <v>4</v>
      </c>
      <c r="T27" s="28" t="n">
        <v>4</v>
      </c>
      <c r="U27" s="28" t="n">
        <v>5</v>
      </c>
      <c r="V27" s="28" t="n">
        <v>5</v>
      </c>
      <c r="W27" s="28" t="n">
        <v>5</v>
      </c>
      <c r="X27" s="28" t="n">
        <v>5</v>
      </c>
      <c r="Y27" s="28" t="n">
        <v>5</v>
      </c>
      <c r="Z27" s="28" t="n">
        <v>5</v>
      </c>
      <c r="AA27" s="28" t="n">
        <v>5</v>
      </c>
      <c r="AB27" s="28" t="n">
        <v>5</v>
      </c>
      <c r="AC27" s="28" t="n">
        <v>4</v>
      </c>
      <c r="AD27" s="28" t="n">
        <v>5</v>
      </c>
      <c r="AE27" s="28" t="n">
        <v>5</v>
      </c>
      <c r="AF27" s="28" t="n">
        <v>5</v>
      </c>
      <c r="AG27" s="29" t="n">
        <f aca="false">(5*AH27+4*AI27+3*AJ27+2*AK27+1*AL27)/SUM(AH27:AL27)</f>
        <v>4.76666666666667</v>
      </c>
      <c r="AH27" s="26" t="n">
        <f aca="false">COUNTIF(C27:AF27,5)</f>
        <v>23</v>
      </c>
      <c r="AI27" s="26" t="n">
        <f aca="false">COUNTIF(C27:AF27,4)</f>
        <v>7</v>
      </c>
      <c r="AJ27" s="26" t="n">
        <f aca="false">COUNTIF(C27:AF27,3)</f>
        <v>0</v>
      </c>
      <c r="AK27" s="26" t="n">
        <f aca="false">COUNTIF(C27:AF27,2)</f>
        <v>0</v>
      </c>
      <c r="AL27" s="26" t="n">
        <f aca="false">COUNTIF(C27:AF27,1)</f>
        <v>0</v>
      </c>
    </row>
    <row r="28" customFormat="false" ht="40.5" hidden="false" customHeight="true" outlineLevel="0" collapsed="false">
      <c r="A28" s="26" t="n">
        <v>16</v>
      </c>
      <c r="B28" s="27" t="s">
        <v>358</v>
      </c>
      <c r="C28" s="28" t="n">
        <v>5</v>
      </c>
      <c r="D28" s="28" t="n">
        <v>5</v>
      </c>
      <c r="E28" s="28" t="n">
        <v>5</v>
      </c>
      <c r="F28" s="28" t="n">
        <v>5</v>
      </c>
      <c r="G28" s="28" t="n">
        <v>5</v>
      </c>
      <c r="H28" s="28" t="n">
        <v>5</v>
      </c>
      <c r="I28" s="28" t="n">
        <v>5</v>
      </c>
      <c r="J28" s="28" t="n">
        <v>3</v>
      </c>
      <c r="K28" s="28" t="n">
        <v>5</v>
      </c>
      <c r="L28" s="28" t="n">
        <v>5</v>
      </c>
      <c r="M28" s="28" t="n">
        <v>5</v>
      </c>
      <c r="N28" s="28" t="n">
        <v>5</v>
      </c>
      <c r="O28" s="28" t="n">
        <v>3</v>
      </c>
      <c r="P28" s="28" t="n">
        <v>5</v>
      </c>
      <c r="Q28" s="28" t="n">
        <v>2</v>
      </c>
      <c r="R28" s="28" t="n">
        <v>4</v>
      </c>
      <c r="S28" s="28" t="n">
        <v>4</v>
      </c>
      <c r="T28" s="28" t="n">
        <v>4</v>
      </c>
      <c r="U28" s="28" t="n">
        <v>5</v>
      </c>
      <c r="V28" s="28" t="n">
        <v>5</v>
      </c>
      <c r="W28" s="28" t="n">
        <v>5</v>
      </c>
      <c r="X28" s="28" t="n">
        <v>5</v>
      </c>
      <c r="Y28" s="28" t="n">
        <v>5</v>
      </c>
      <c r="Z28" s="28" t="n">
        <v>5</v>
      </c>
      <c r="AA28" s="28" t="n">
        <v>5</v>
      </c>
      <c r="AB28" s="28" t="n">
        <v>5</v>
      </c>
      <c r="AC28" s="28" t="n">
        <v>4</v>
      </c>
      <c r="AD28" s="28" t="n">
        <v>5</v>
      </c>
      <c r="AE28" s="28" t="n">
        <v>5</v>
      </c>
      <c r="AF28" s="28" t="n">
        <v>5</v>
      </c>
      <c r="AG28" s="29" t="n">
        <f aca="false">(5*AH28+4*AI28+3*AJ28+2*AK28+1*AL28)/SUM(AH28:AL28)</f>
        <v>4.63333333333333</v>
      </c>
      <c r="AH28" s="26" t="n">
        <f aca="false">COUNTIF(C28:AF28,5)</f>
        <v>23</v>
      </c>
      <c r="AI28" s="26" t="n">
        <f aca="false">COUNTIF(C28:AF28,4)</f>
        <v>4</v>
      </c>
      <c r="AJ28" s="26" t="n">
        <f aca="false">COUNTIF(C28:AF28,3)</f>
        <v>2</v>
      </c>
      <c r="AK28" s="26" t="n">
        <f aca="false">COUNTIF(C28:AF28,2)</f>
        <v>1</v>
      </c>
      <c r="AL28" s="26" t="n">
        <f aca="false">COUNTIF(C28:AF28,1)</f>
        <v>0</v>
      </c>
    </row>
    <row r="29" customFormat="false" ht="15" hidden="false" customHeight="true" outlineLevel="0" collapsed="false">
      <c r="A29" s="51" t="s">
        <v>359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31" t="n">
        <f aca="false">AVERAGE(AG20:AG28)</f>
        <v>4.4962962962963</v>
      </c>
      <c r="AH29" s="32"/>
      <c r="AI29" s="32"/>
      <c r="AJ29" s="32"/>
      <c r="AK29" s="32"/>
      <c r="AL29" s="32"/>
    </row>
    <row r="31" customFormat="false" ht="15" hidden="false" customHeight="true" outlineLevel="0" collapsed="false">
      <c r="A31" s="25" t="s">
        <v>360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customFormat="false" ht="40.5" hidden="false" customHeight="true" outlineLevel="0" collapsed="false">
      <c r="A32" s="26" t="n">
        <v>17</v>
      </c>
      <c r="B32" s="27" t="s">
        <v>361</v>
      </c>
      <c r="C32" s="28" t="n">
        <v>5</v>
      </c>
      <c r="D32" s="28" t="n">
        <v>5</v>
      </c>
      <c r="E32" s="28" t="n">
        <v>5</v>
      </c>
      <c r="F32" s="28" t="n">
        <v>5</v>
      </c>
      <c r="G32" s="28" t="n">
        <v>5</v>
      </c>
      <c r="H32" s="28" t="n">
        <v>5</v>
      </c>
      <c r="I32" s="28" t="n">
        <v>5</v>
      </c>
      <c r="J32" s="28" t="n">
        <v>5</v>
      </c>
      <c r="K32" s="28" t="n">
        <v>5</v>
      </c>
      <c r="L32" s="28" t="n">
        <v>4</v>
      </c>
      <c r="M32" s="28" t="n">
        <v>5</v>
      </c>
      <c r="N32" s="28" t="n">
        <v>5</v>
      </c>
      <c r="O32" s="28" t="n">
        <v>5</v>
      </c>
      <c r="P32" s="28" t="n">
        <v>5</v>
      </c>
      <c r="Q32" s="28" t="n">
        <v>4</v>
      </c>
      <c r="R32" s="28" t="n">
        <v>4</v>
      </c>
      <c r="S32" s="28" t="n">
        <v>4</v>
      </c>
      <c r="T32" s="28" t="n">
        <v>4</v>
      </c>
      <c r="U32" s="28" t="n">
        <v>5</v>
      </c>
      <c r="V32" s="28" t="n">
        <v>5</v>
      </c>
      <c r="W32" s="28" t="n">
        <v>5</v>
      </c>
      <c r="X32" s="28" t="n">
        <v>5</v>
      </c>
      <c r="Y32" s="28" t="n">
        <v>5</v>
      </c>
      <c r="Z32" s="28" t="n">
        <v>5</v>
      </c>
      <c r="AA32" s="28" t="n">
        <v>5</v>
      </c>
      <c r="AB32" s="28" t="n">
        <v>5</v>
      </c>
      <c r="AC32" s="28" t="n">
        <v>4</v>
      </c>
      <c r="AD32" s="28" t="n">
        <v>5</v>
      </c>
      <c r="AE32" s="28" t="n">
        <v>5</v>
      </c>
      <c r="AF32" s="28" t="n">
        <v>5</v>
      </c>
      <c r="AG32" s="29" t="n">
        <f aca="false">(5*AH32+4*AI32+3*AJ32+2*AK32+1*AL32)/SUM(AH32:AL32)</f>
        <v>4.8</v>
      </c>
      <c r="AH32" s="26" t="n">
        <f aca="false">COUNTIF(C32:AF32,5)</f>
        <v>24</v>
      </c>
      <c r="AI32" s="26" t="n">
        <f aca="false">COUNTIF(C32:AF32,4)</f>
        <v>6</v>
      </c>
      <c r="AJ32" s="26" t="n">
        <f aca="false">COUNTIF(C32:AF32,3)</f>
        <v>0</v>
      </c>
      <c r="AK32" s="26" t="n">
        <f aca="false">COUNTIF(C32:AF32,2)</f>
        <v>0</v>
      </c>
      <c r="AL32" s="26" t="n">
        <f aca="false">COUNTIF(C32:AF32,1)</f>
        <v>0</v>
      </c>
    </row>
    <row r="33" customFormat="false" ht="40.5" hidden="false" customHeight="true" outlineLevel="0" collapsed="false">
      <c r="A33" s="26" t="n">
        <v>18</v>
      </c>
      <c r="B33" s="27" t="s">
        <v>362</v>
      </c>
      <c r="C33" s="28" t="n">
        <v>5</v>
      </c>
      <c r="D33" s="28" t="n">
        <v>5</v>
      </c>
      <c r="E33" s="28" t="n">
        <v>5</v>
      </c>
      <c r="F33" s="28" t="n">
        <v>5</v>
      </c>
      <c r="G33" s="28" t="n">
        <v>5</v>
      </c>
      <c r="H33" s="28" t="n">
        <v>5</v>
      </c>
      <c r="I33" s="28" t="n">
        <v>5</v>
      </c>
      <c r="J33" s="28" t="n">
        <v>5</v>
      </c>
      <c r="K33" s="28" t="n">
        <v>5</v>
      </c>
      <c r="L33" s="28" t="n">
        <v>5</v>
      </c>
      <c r="M33" s="28" t="n">
        <v>5</v>
      </c>
      <c r="N33" s="28" t="n">
        <v>5</v>
      </c>
      <c r="O33" s="28" t="n">
        <v>5</v>
      </c>
      <c r="P33" s="28" t="n">
        <v>5</v>
      </c>
      <c r="Q33" s="28" t="n">
        <v>4</v>
      </c>
      <c r="R33" s="28" t="n">
        <v>4</v>
      </c>
      <c r="S33" s="28" t="n">
        <v>3</v>
      </c>
      <c r="T33" s="28" t="n">
        <v>2</v>
      </c>
      <c r="U33" s="28" t="n">
        <v>4</v>
      </c>
      <c r="V33" s="28" t="n">
        <v>5</v>
      </c>
      <c r="W33" s="28" t="n">
        <v>5</v>
      </c>
      <c r="X33" s="28" t="n">
        <v>5</v>
      </c>
      <c r="Y33" s="28" t="n">
        <v>5</v>
      </c>
      <c r="Z33" s="28" t="n">
        <v>5</v>
      </c>
      <c r="AA33" s="28" t="n">
        <v>5</v>
      </c>
      <c r="AB33" s="28" t="n">
        <v>5</v>
      </c>
      <c r="AC33" s="28" t="n">
        <v>5</v>
      </c>
      <c r="AD33" s="28" t="n">
        <v>5</v>
      </c>
      <c r="AE33" s="28" t="n">
        <v>5</v>
      </c>
      <c r="AF33" s="28" t="n">
        <v>5</v>
      </c>
      <c r="AG33" s="29" t="n">
        <f aca="false">(5*AH33+4*AI33+3*AJ33+2*AK33+1*AL33)/SUM(AH33:AL33)</f>
        <v>4.73333333333333</v>
      </c>
      <c r="AH33" s="26" t="n">
        <f aca="false">COUNTIF(C33:AF33,5)</f>
        <v>25</v>
      </c>
      <c r="AI33" s="26" t="n">
        <f aca="false">COUNTIF(C33:AF33,4)</f>
        <v>3</v>
      </c>
      <c r="AJ33" s="26" t="n">
        <f aca="false">COUNTIF(C33:AF33,3)</f>
        <v>1</v>
      </c>
      <c r="AK33" s="26" t="n">
        <f aca="false">COUNTIF(C33:AF33,2)</f>
        <v>1</v>
      </c>
      <c r="AL33" s="26" t="n">
        <f aca="false">COUNTIF(C33:AF33,1)</f>
        <v>0</v>
      </c>
    </row>
    <row r="34" customFormat="false" ht="40.5" hidden="false" customHeight="true" outlineLevel="0" collapsed="false">
      <c r="A34" s="26" t="n">
        <v>19</v>
      </c>
      <c r="B34" s="27" t="s">
        <v>363</v>
      </c>
      <c r="C34" s="28" t="n">
        <v>5</v>
      </c>
      <c r="D34" s="28" t="n">
        <v>5</v>
      </c>
      <c r="E34" s="28" t="n">
        <v>5</v>
      </c>
      <c r="F34" s="28" t="n">
        <v>5</v>
      </c>
      <c r="G34" s="28" t="n">
        <v>5</v>
      </c>
      <c r="H34" s="28" t="n">
        <v>5</v>
      </c>
      <c r="I34" s="28" t="n">
        <v>5</v>
      </c>
      <c r="J34" s="28" t="n">
        <v>5</v>
      </c>
      <c r="K34" s="28" t="n">
        <v>5</v>
      </c>
      <c r="L34" s="28" t="n">
        <v>4</v>
      </c>
      <c r="M34" s="28" t="n">
        <v>5</v>
      </c>
      <c r="N34" s="28" t="n">
        <v>5</v>
      </c>
      <c r="O34" s="28" t="n">
        <v>4</v>
      </c>
      <c r="P34" s="28" t="n">
        <v>5</v>
      </c>
      <c r="Q34" s="28" t="n">
        <v>4</v>
      </c>
      <c r="R34" s="28" t="n">
        <v>4</v>
      </c>
      <c r="S34" s="28" t="n">
        <v>4</v>
      </c>
      <c r="T34" s="28" t="n">
        <v>4</v>
      </c>
      <c r="U34" s="28" t="n">
        <v>4</v>
      </c>
      <c r="V34" s="28" t="n">
        <v>5</v>
      </c>
      <c r="W34" s="28" t="n">
        <v>5</v>
      </c>
      <c r="X34" s="28" t="n">
        <v>5</v>
      </c>
      <c r="Y34" s="28" t="n">
        <v>5</v>
      </c>
      <c r="Z34" s="28" t="n">
        <v>5</v>
      </c>
      <c r="AA34" s="28" t="n">
        <v>5</v>
      </c>
      <c r="AB34" s="28" t="n">
        <v>5</v>
      </c>
      <c r="AC34" s="28" t="n">
        <v>5</v>
      </c>
      <c r="AD34" s="28" t="n">
        <v>5</v>
      </c>
      <c r="AE34" s="28" t="n">
        <v>5</v>
      </c>
      <c r="AF34" s="28" t="n">
        <v>5</v>
      </c>
      <c r="AG34" s="29" t="n">
        <f aca="false">(5*AH34+4*AI34+3*AJ34+2*AK34+1*AL34)/SUM(AH34:AL34)</f>
        <v>4.76666666666667</v>
      </c>
      <c r="AH34" s="26" t="n">
        <f aca="false">COUNTIF(C34:AF34,5)</f>
        <v>23</v>
      </c>
      <c r="AI34" s="26" t="n">
        <f aca="false">COUNTIF(C34:AF34,4)</f>
        <v>7</v>
      </c>
      <c r="AJ34" s="26" t="n">
        <f aca="false">COUNTIF(C34:AF34,3)</f>
        <v>0</v>
      </c>
      <c r="AK34" s="26" t="n">
        <f aca="false">COUNTIF(C34:AF34,2)</f>
        <v>0</v>
      </c>
      <c r="AL34" s="26" t="n">
        <f aca="false">COUNTIF(C34:AF34,1)</f>
        <v>0</v>
      </c>
    </row>
    <row r="35" customFormat="false" ht="40.5" hidden="false" customHeight="true" outlineLevel="0" collapsed="false">
      <c r="A35" s="26" t="n">
        <v>20</v>
      </c>
      <c r="B35" s="27" t="s">
        <v>364</v>
      </c>
      <c r="C35" s="28" t="n">
        <v>5</v>
      </c>
      <c r="D35" s="28" t="n">
        <v>5</v>
      </c>
      <c r="E35" s="28" t="n">
        <v>5</v>
      </c>
      <c r="F35" s="28" t="n">
        <v>5</v>
      </c>
      <c r="G35" s="28" t="n">
        <v>5</v>
      </c>
      <c r="H35" s="28" t="n">
        <v>5</v>
      </c>
      <c r="I35" s="28" t="n">
        <v>5</v>
      </c>
      <c r="J35" s="28" t="n">
        <v>5</v>
      </c>
      <c r="K35" s="28" t="n">
        <v>5</v>
      </c>
      <c r="L35" s="28" t="n">
        <v>3</v>
      </c>
      <c r="M35" s="28" t="n">
        <v>5</v>
      </c>
      <c r="N35" s="28" t="n">
        <v>5</v>
      </c>
      <c r="O35" s="28" t="n">
        <v>3</v>
      </c>
      <c r="P35" s="28" t="n">
        <v>5</v>
      </c>
      <c r="Q35" s="28" t="n">
        <v>3</v>
      </c>
      <c r="R35" s="28" t="n">
        <v>4</v>
      </c>
      <c r="S35" s="28" t="n">
        <v>3</v>
      </c>
      <c r="T35" s="28" t="n">
        <v>4</v>
      </c>
      <c r="U35" s="28" t="n">
        <v>5</v>
      </c>
      <c r="V35" s="28" t="n">
        <v>5</v>
      </c>
      <c r="W35" s="28" t="n">
        <v>5</v>
      </c>
      <c r="X35" s="28" t="n">
        <v>5</v>
      </c>
      <c r="Y35" s="28" t="n">
        <v>5</v>
      </c>
      <c r="Z35" s="28" t="n">
        <v>5</v>
      </c>
      <c r="AA35" s="28" t="n">
        <v>5</v>
      </c>
      <c r="AB35" s="28" t="n">
        <v>5</v>
      </c>
      <c r="AC35" s="28" t="n">
        <v>5</v>
      </c>
      <c r="AD35" s="28" t="n">
        <v>5</v>
      </c>
      <c r="AE35" s="28" t="n">
        <v>5</v>
      </c>
      <c r="AF35" s="28" t="n">
        <v>5</v>
      </c>
      <c r="AG35" s="29" t="n">
        <f aca="false">(5*AH35+4*AI35+3*AJ35+2*AK35+1*AL35)/SUM(AH35:AL35)</f>
        <v>4.66666666666667</v>
      </c>
      <c r="AH35" s="26" t="n">
        <f aca="false">COUNTIF(C35:AF35,5)</f>
        <v>24</v>
      </c>
      <c r="AI35" s="26" t="n">
        <f aca="false">COUNTIF(C35:AF35,4)</f>
        <v>2</v>
      </c>
      <c r="AJ35" s="26" t="n">
        <f aca="false">COUNTIF(C35:AF35,3)</f>
        <v>4</v>
      </c>
      <c r="AK35" s="26" t="n">
        <f aca="false">COUNTIF(C35:AF35,2)</f>
        <v>0</v>
      </c>
      <c r="AL35" s="26" t="n">
        <f aca="false">COUNTIF(C35:AF35,1)</f>
        <v>0</v>
      </c>
    </row>
    <row r="36" customFormat="false" ht="40.5" hidden="false" customHeight="true" outlineLevel="0" collapsed="false">
      <c r="A36" s="26" t="n">
        <v>21</v>
      </c>
      <c r="B36" s="27" t="s">
        <v>365</v>
      </c>
      <c r="C36" s="28" t="n">
        <v>5</v>
      </c>
      <c r="D36" s="28" t="n">
        <v>5</v>
      </c>
      <c r="E36" s="28" t="n">
        <v>5</v>
      </c>
      <c r="F36" s="28" t="n">
        <v>5</v>
      </c>
      <c r="G36" s="28" t="n">
        <v>5</v>
      </c>
      <c r="H36" s="28" t="n">
        <v>5</v>
      </c>
      <c r="I36" s="28" t="n">
        <v>5</v>
      </c>
      <c r="J36" s="28" t="n">
        <v>5</v>
      </c>
      <c r="K36" s="28" t="n">
        <v>5</v>
      </c>
      <c r="L36" s="28" t="n">
        <v>3</v>
      </c>
      <c r="M36" s="28" t="n">
        <v>5</v>
      </c>
      <c r="N36" s="28" t="n">
        <v>5</v>
      </c>
      <c r="O36" s="28" t="n">
        <v>3</v>
      </c>
      <c r="P36" s="28" t="n">
        <v>5</v>
      </c>
      <c r="Q36" s="28" t="n">
        <v>3</v>
      </c>
      <c r="R36" s="28" t="n">
        <v>4</v>
      </c>
      <c r="S36" s="28" t="n">
        <v>3</v>
      </c>
      <c r="T36" s="28" t="n">
        <v>4</v>
      </c>
      <c r="U36" s="28" t="n">
        <v>5</v>
      </c>
      <c r="V36" s="28" t="n">
        <v>5</v>
      </c>
      <c r="W36" s="28" t="n">
        <v>5</v>
      </c>
      <c r="X36" s="28" t="n">
        <v>5</v>
      </c>
      <c r="Y36" s="28" t="n">
        <v>5</v>
      </c>
      <c r="Z36" s="28" t="n">
        <v>5</v>
      </c>
      <c r="AA36" s="28" t="n">
        <v>5</v>
      </c>
      <c r="AB36" s="28" t="n">
        <v>5</v>
      </c>
      <c r="AC36" s="28" t="n">
        <v>5</v>
      </c>
      <c r="AD36" s="28" t="n">
        <v>5</v>
      </c>
      <c r="AE36" s="28" t="n">
        <v>5</v>
      </c>
      <c r="AF36" s="28" t="n">
        <v>5</v>
      </c>
      <c r="AG36" s="29" t="n">
        <f aca="false">(5*AH36+4*AI36+3*AJ36+2*AK36+1*AL36)/SUM(AH36:AL36)</f>
        <v>4.66666666666667</v>
      </c>
      <c r="AH36" s="26" t="n">
        <f aca="false">COUNTIF(C36:AF36,5)</f>
        <v>24</v>
      </c>
      <c r="AI36" s="26" t="n">
        <f aca="false">COUNTIF(C36:AF36,4)</f>
        <v>2</v>
      </c>
      <c r="AJ36" s="26" t="n">
        <f aca="false">COUNTIF(C36:AF36,3)</f>
        <v>4</v>
      </c>
      <c r="AK36" s="26" t="n">
        <f aca="false">COUNTIF(C36:AF36,2)</f>
        <v>0</v>
      </c>
      <c r="AL36" s="26" t="n">
        <f aca="false">COUNTIF(C36:AF36,1)</f>
        <v>0</v>
      </c>
    </row>
    <row r="37" customFormat="false" ht="40.5" hidden="false" customHeight="true" outlineLevel="0" collapsed="false">
      <c r="A37" s="26" t="n">
        <v>22</v>
      </c>
      <c r="B37" s="27" t="s">
        <v>366</v>
      </c>
      <c r="C37" s="28" t="n">
        <v>5</v>
      </c>
      <c r="D37" s="28" t="n">
        <v>5</v>
      </c>
      <c r="E37" s="28" t="n">
        <v>5</v>
      </c>
      <c r="F37" s="28" t="n">
        <v>5</v>
      </c>
      <c r="G37" s="28" t="n">
        <v>5</v>
      </c>
      <c r="H37" s="28" t="n">
        <v>5</v>
      </c>
      <c r="I37" s="28" t="n">
        <v>5</v>
      </c>
      <c r="J37" s="28" t="n">
        <v>5</v>
      </c>
      <c r="K37" s="28" t="n">
        <v>5</v>
      </c>
      <c r="L37" s="28" t="n">
        <v>3</v>
      </c>
      <c r="M37" s="28" t="n">
        <v>5</v>
      </c>
      <c r="N37" s="28" t="n">
        <v>5</v>
      </c>
      <c r="O37" s="28" t="n">
        <v>3</v>
      </c>
      <c r="P37" s="28" t="n">
        <v>5</v>
      </c>
      <c r="Q37" s="28" t="n">
        <v>3</v>
      </c>
      <c r="R37" s="28" t="n">
        <v>4</v>
      </c>
      <c r="S37" s="28" t="n">
        <v>3</v>
      </c>
      <c r="T37" s="28" t="n">
        <v>4</v>
      </c>
      <c r="U37" s="28" t="n">
        <v>4</v>
      </c>
      <c r="V37" s="28" t="n">
        <v>5</v>
      </c>
      <c r="W37" s="28" t="n">
        <v>5</v>
      </c>
      <c r="X37" s="28" t="n">
        <v>5</v>
      </c>
      <c r="Y37" s="28" t="n">
        <v>5</v>
      </c>
      <c r="Z37" s="28" t="n">
        <v>5</v>
      </c>
      <c r="AA37" s="28" t="n">
        <v>5</v>
      </c>
      <c r="AB37" s="28" t="n">
        <v>5</v>
      </c>
      <c r="AC37" s="28" t="n">
        <v>5</v>
      </c>
      <c r="AD37" s="28" t="n">
        <v>5</v>
      </c>
      <c r="AE37" s="28" t="n">
        <v>5</v>
      </c>
      <c r="AF37" s="28" t="n">
        <v>5</v>
      </c>
      <c r="AG37" s="29" t="n">
        <f aca="false">(5*AH37+4*AI37+3*AJ37+2*AK37+1*AL37)/SUM(AH37:AL37)</f>
        <v>4.63333333333333</v>
      </c>
      <c r="AH37" s="26" t="n">
        <f aca="false">COUNTIF(C37:AF37,5)</f>
        <v>23</v>
      </c>
      <c r="AI37" s="26" t="n">
        <f aca="false">COUNTIF(C37:AF37,4)</f>
        <v>3</v>
      </c>
      <c r="AJ37" s="26" t="n">
        <f aca="false">COUNTIF(C37:AF37,3)</f>
        <v>4</v>
      </c>
      <c r="AK37" s="26" t="n">
        <f aca="false">COUNTIF(C37:AF37,2)</f>
        <v>0</v>
      </c>
      <c r="AL37" s="26" t="n">
        <f aca="false">COUNTIF(C37:AF37,1)</f>
        <v>0</v>
      </c>
    </row>
    <row r="38" customFormat="false" ht="15" hidden="false" customHeight="true" outlineLevel="0" collapsed="false">
      <c r="A38" s="51" t="s">
        <v>367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31" t="n">
        <f aca="false">AVERAGE(AG32:AG37)</f>
        <v>4.71111111111111</v>
      </c>
      <c r="AH38" s="32"/>
      <c r="AI38" s="32"/>
      <c r="AJ38" s="32"/>
      <c r="AK38" s="32"/>
      <c r="AL38" s="32"/>
    </row>
    <row r="40" customFormat="false" ht="15" hidden="false" customHeight="true" outlineLevel="0" collapsed="false">
      <c r="A40" s="33" t="s">
        <v>220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4" t="n">
        <f aca="false">(AVERAGE(AG7:AG9)+AVERAGE(AG13:AG16)+AVERAGE(AG20:AG28)+AVERAGE(AG32:AG37))/4</f>
        <v>4.6525462962963</v>
      </c>
      <c r="AH40" s="35" t="n">
        <f aca="false">COUNTIF(C7:AF9,5)+COUNTIF(C13:AF16,5)+COUNTIF(C20:AF28,5)+COUNTIF(C32:AF37,5)</f>
        <v>486</v>
      </c>
      <c r="AI40" s="35" t="n">
        <f aca="false">COUNTIF(C7:AF9,4)+COUNTIF(C13:AF16,4)+COUNTIF(C20:AF28,4)+COUNTIF(C32:AF37,4)</f>
        <v>119</v>
      </c>
      <c r="AJ40" s="35" t="n">
        <f aca="false">COUNTIF(C7:AF9,3)+COUNTIF(C13:AF16,3)+COUNTIF(C20:AF28,3)+COUNTIF(C32:AF37,3)</f>
        <v>41</v>
      </c>
      <c r="AK40" s="35" t="n">
        <f aca="false">COUNTIF(C7:AF9,2)+COUNTIF(C13:AF16,2)+COUNTIF(C20:AF28,2)+COUNTIF(C32:AF37,2)</f>
        <v>7</v>
      </c>
      <c r="AL40" s="35" t="n">
        <f aca="false">COUNTIF(C7:AF9,1)+COUNTIF(C13:AF16,1)+COUNTIF(C20:AF28,1)+COUNTIF(C32:AF37,1)</f>
        <v>7</v>
      </c>
    </row>
  </sheetData>
  <mergeCells count="12">
    <mergeCell ref="A1:AL1"/>
    <mergeCell ref="A2:AL2"/>
    <mergeCell ref="A3:AL3"/>
    <mergeCell ref="A6:AL6"/>
    <mergeCell ref="A10:AF10"/>
    <mergeCell ref="A12:AL12"/>
    <mergeCell ref="A17:AF17"/>
    <mergeCell ref="A19:AL19"/>
    <mergeCell ref="A29:AF29"/>
    <mergeCell ref="A31:AL31"/>
    <mergeCell ref="A38:AF38"/>
    <mergeCell ref="A40:A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0" colorId="64" zoomScale="76" zoomScaleNormal="76" zoomScalePageLayoutView="100" workbookViewId="0">
      <selection pane="topLeft" activeCell="G73" activeCellId="0" sqref="G7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6.54"/>
    <col collapsed="false" customWidth="true" hidden="false" outlineLevel="0" max="12" min="12" style="1" width="8"/>
    <col collapsed="false" customWidth="true" hidden="false" outlineLevel="0" max="13" min="13" style="1" width="2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52" t="s">
        <v>384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customFormat="false" ht="15" hidden="false" customHeight="true" outlineLevel="0" collapsed="false">
      <c r="A3" s="53" t="s">
        <v>168</v>
      </c>
      <c r="B3" s="54" t="s">
        <v>369</v>
      </c>
      <c r="C3" s="54"/>
      <c r="D3" s="54" t="s">
        <v>370</v>
      </c>
      <c r="E3" s="54"/>
      <c r="F3" s="54" t="s">
        <v>371</v>
      </c>
      <c r="G3" s="54"/>
      <c r="H3" s="54" t="s">
        <v>372</v>
      </c>
      <c r="I3" s="54"/>
      <c r="J3" s="54" t="s">
        <v>373</v>
      </c>
      <c r="K3" s="54"/>
      <c r="L3" s="53" t="s">
        <v>174</v>
      </c>
      <c r="M3" s="53" t="s">
        <v>125</v>
      </c>
    </row>
    <row r="4" customFormat="false" ht="15" hidden="false" customHeight="true" outlineLevel="0" collapsed="false">
      <c r="A4" s="53"/>
      <c r="B4" s="55" t="s">
        <v>272</v>
      </c>
      <c r="C4" s="55" t="s">
        <v>273</v>
      </c>
      <c r="D4" s="55" t="s">
        <v>272</v>
      </c>
      <c r="E4" s="55" t="s">
        <v>273</v>
      </c>
      <c r="F4" s="55" t="s">
        <v>272</v>
      </c>
      <c r="G4" s="55" t="s">
        <v>273</v>
      </c>
      <c r="H4" s="55" t="s">
        <v>272</v>
      </c>
      <c r="I4" s="55" t="s">
        <v>273</v>
      </c>
      <c r="J4" s="55" t="s">
        <v>272</v>
      </c>
      <c r="K4" s="55" t="s">
        <v>273</v>
      </c>
      <c r="L4" s="53"/>
      <c r="M4" s="53"/>
    </row>
    <row r="5" customFormat="false" ht="38.25" hidden="false" customHeight="true" outlineLevel="0" collapsed="false">
      <c r="A5" s="57" t="s">
        <v>339</v>
      </c>
      <c r="B5" s="58" t="n">
        <f aca="false">'WCAG - End-Users'!AH7</f>
        <v>20</v>
      </c>
      <c r="C5" s="59" t="n">
        <f aca="false">'WCAG - End-Users'!AH7/COUNT('WCAG - End-Users'!$C7:$AF7)</f>
        <v>0.666666666666667</v>
      </c>
      <c r="D5" s="58" t="n">
        <f aca="false">'WCAG - End-Users'!AI7</f>
        <v>8</v>
      </c>
      <c r="E5" s="59" t="n">
        <f aca="false">'WCAG - End-Users'!AI7/COUNT('WCAG - End-Users'!$C7:$AF7)</f>
        <v>0.266666666666667</v>
      </c>
      <c r="F5" s="58" t="n">
        <f aca="false">'WCAG - End-Users'!AJ7</f>
        <v>2</v>
      </c>
      <c r="G5" s="59" t="n">
        <f aca="false">'WCAG - End-Users'!AJ7/COUNT('WCAG - End-Users'!$C7:$AF7)</f>
        <v>0.0666666666666667</v>
      </c>
      <c r="H5" s="58" t="n">
        <f aca="false">'WCAG - End-Users'!AK7</f>
        <v>0</v>
      </c>
      <c r="I5" s="59" t="n">
        <f aca="false">'WCAG - End-Users'!AK7/COUNT('WCAG - End-Users'!$C7:$AF7)</f>
        <v>0</v>
      </c>
      <c r="J5" s="58" t="n">
        <f aca="false">'WCAG - End-Users'!AL7</f>
        <v>0</v>
      </c>
      <c r="K5" s="59" t="n">
        <f aca="false">'WCAG - End-Users'!AL7/COUNT('WCAG - End-Users'!$C7:$AF7)</f>
        <v>0</v>
      </c>
      <c r="L5" s="60" t="n">
        <f aca="false">'WCAG - End-Users'!AG7</f>
        <v>4.6</v>
      </c>
      <c r="M5" s="58" t="str">
        <f aca="false">IF('WCAG - End-Users'!AG7&gt;='Scoring Rubrics'!$A$78,'Scoring Rubrics'!$C$78,IF('WCAG - End-Users'!AG7&gt;='Scoring Rubrics'!$A$79,'Scoring Rubrics'!$C$79,IF('WCAG - End-Users'!AG7&gt;='Scoring Rubrics'!$A$80,'Scoring Rubrics'!$C$80,IF('WCAG - End-Users'!AG7&gt;='Scoring Rubrics'!$A$81,'Scoring Rubrics'!$C$81,'Scoring Rubrics'!$C$82))))</f>
        <v>Highly Accessible</v>
      </c>
    </row>
    <row r="6" customFormat="false" ht="38.25" hidden="false" customHeight="true" outlineLevel="0" collapsed="false">
      <c r="A6" s="57" t="s">
        <v>340</v>
      </c>
      <c r="B6" s="58" t="n">
        <f aca="false">'WCAG - End-Users'!AH8</f>
        <v>23</v>
      </c>
      <c r="C6" s="59" t="n">
        <f aca="false">'WCAG - End-Users'!AH8/COUNT('WCAG - End-Users'!$C8:$AF8)</f>
        <v>0.766666666666667</v>
      </c>
      <c r="D6" s="58" t="n">
        <f aca="false">'WCAG - End-Users'!AI8</f>
        <v>6</v>
      </c>
      <c r="E6" s="59" t="n">
        <f aca="false">'WCAG - End-Users'!AI8/COUNT('WCAG - End-Users'!$C8:$AF8)</f>
        <v>0.2</v>
      </c>
      <c r="F6" s="58" t="n">
        <f aca="false">'WCAG - End-Users'!AJ8</f>
        <v>1</v>
      </c>
      <c r="G6" s="59" t="n">
        <f aca="false">'WCAG - End-Users'!AJ8/COUNT('WCAG - End-Users'!$C8:$AF8)</f>
        <v>0.0333333333333333</v>
      </c>
      <c r="H6" s="58" t="n">
        <f aca="false">'WCAG - End-Users'!AK8</f>
        <v>0</v>
      </c>
      <c r="I6" s="59" t="n">
        <f aca="false">'WCAG - End-Users'!AK8/COUNT('WCAG - End-Users'!$C8:$AF8)</f>
        <v>0</v>
      </c>
      <c r="J6" s="58" t="n">
        <f aca="false">'WCAG - End-Users'!AL8</f>
        <v>0</v>
      </c>
      <c r="K6" s="59" t="n">
        <f aca="false">'WCAG - End-Users'!AL8/COUNT('WCAG - End-Users'!$C8:$AF8)</f>
        <v>0</v>
      </c>
      <c r="L6" s="60" t="n">
        <f aca="false">'WCAG - End-Users'!AG8</f>
        <v>4.73333333333333</v>
      </c>
      <c r="M6" s="58" t="str">
        <f aca="false">IF('WCAG - End-Users'!AG8&gt;='Scoring Rubrics'!$A$78,'Scoring Rubrics'!$C$78,IF('WCAG - End-Users'!AG8&gt;='Scoring Rubrics'!$A$79,'Scoring Rubrics'!$C$79,IF('WCAG - End-Users'!AG8&gt;='Scoring Rubrics'!$A$80,'Scoring Rubrics'!$C$80,IF('WCAG - End-Users'!AG8&gt;='Scoring Rubrics'!$A$81,'Scoring Rubrics'!$C$81,'Scoring Rubrics'!$C$82))))</f>
        <v>Highly Accessible</v>
      </c>
    </row>
    <row r="7" customFormat="false" ht="38.25" hidden="false" customHeight="true" outlineLevel="0" collapsed="false">
      <c r="A7" s="57" t="s">
        <v>341</v>
      </c>
      <c r="B7" s="58" t="n">
        <f aca="false">'WCAG - End-Users'!AH9</f>
        <v>22</v>
      </c>
      <c r="C7" s="59" t="n">
        <f aca="false">'WCAG - End-Users'!AH9/COUNT('WCAG - End-Users'!$C9:$AF9)</f>
        <v>0.733333333333333</v>
      </c>
      <c r="D7" s="58" t="n">
        <f aca="false">'WCAG - End-Users'!AI9</f>
        <v>7</v>
      </c>
      <c r="E7" s="59" t="n">
        <f aca="false">'WCAG - End-Users'!AI9/COUNT('WCAG - End-Users'!$C9:$AF9)</f>
        <v>0.233333333333333</v>
      </c>
      <c r="F7" s="58" t="n">
        <f aca="false">'WCAG - End-Users'!AJ9</f>
        <v>1</v>
      </c>
      <c r="G7" s="59" t="n">
        <f aca="false">'WCAG - End-Users'!AJ9/COUNT('WCAG - End-Users'!$C9:$AF9)</f>
        <v>0.0333333333333333</v>
      </c>
      <c r="H7" s="58" t="n">
        <f aca="false">'WCAG - End-Users'!AK9</f>
        <v>0</v>
      </c>
      <c r="I7" s="59" t="n">
        <f aca="false">'WCAG - End-Users'!AK9/COUNT('WCAG - End-Users'!$C9:$AF9)</f>
        <v>0</v>
      </c>
      <c r="J7" s="58" t="n">
        <f aca="false">'WCAG - End-Users'!AL9</f>
        <v>0</v>
      </c>
      <c r="K7" s="59" t="n">
        <f aca="false">'WCAG - End-Users'!AL9/COUNT('WCAG - End-Users'!$C9:$AF9)</f>
        <v>0</v>
      </c>
      <c r="L7" s="60" t="n">
        <f aca="false">'WCAG - End-Users'!AG9</f>
        <v>4.7</v>
      </c>
      <c r="M7" s="58" t="str">
        <f aca="false">IF('WCAG - End-Users'!AG9&gt;='Scoring Rubrics'!$A$78,'Scoring Rubrics'!$C$78,IF('WCAG - End-Users'!AG9&gt;='Scoring Rubrics'!$A$79,'Scoring Rubrics'!$C$79,IF('WCAG - End-Users'!AG9&gt;='Scoring Rubrics'!$A$80,'Scoring Rubrics'!$C$80,IF('WCAG - End-Users'!AG9&gt;='Scoring Rubrics'!$A$81,'Scoring Rubrics'!$C$81,'Scoring Rubrics'!$C$82))))</f>
        <v>Highly Accessible</v>
      </c>
    </row>
    <row r="8" customFormat="false" ht="15" hidden="false" customHeight="true" outlineLevel="0" collapsed="false">
      <c r="A8" s="68" t="s">
        <v>274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6" t="n">
        <f aca="false">'WCAG - End-Users'!AG10</f>
        <v>4.67777777777778</v>
      </c>
      <c r="M8" s="53" t="str">
        <f aca="false">IF('WCAG - End-Users'!AG10&gt;='Scoring Rubrics'!$A$78,'Scoring Rubrics'!$C$78,IF('WCAG - End-Users'!AG10&gt;='Scoring Rubrics'!$A$79,'Scoring Rubrics'!$C$79,IF('WCAG - End-Users'!AG10&gt;='Scoring Rubrics'!$A$80,'Scoring Rubrics'!$C$80,IF('WCAG - End-Users'!AG10&gt;='Scoring Rubrics'!$A$81,'Scoring Rubrics'!$C$81,'Scoring Rubrics'!$C$82))))</f>
        <v>Highly Accessible</v>
      </c>
    </row>
    <row r="9" customFormat="false" ht="25.5" hidden="false" customHeight="true" outlineLevel="0" collapsed="false">
      <c r="A9" s="64" t="s">
        <v>385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</row>
    <row r="12" customFormat="false" ht="15" hidden="false" customHeight="true" outlineLevel="0" collapsed="false">
      <c r="A12" s="2" t="s">
        <v>276</v>
      </c>
    </row>
    <row r="13" customFormat="false" ht="15" hidden="false" customHeight="true" outlineLevel="0" collapsed="false">
      <c r="A13" s="52" t="s">
        <v>386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customFormat="false" ht="15" hidden="false" customHeight="true" outlineLevel="0" collapsed="false">
      <c r="A14" s="53" t="s">
        <v>168</v>
      </c>
      <c r="B14" s="54" t="s">
        <v>369</v>
      </c>
      <c r="C14" s="54"/>
      <c r="D14" s="54" t="s">
        <v>370</v>
      </c>
      <c r="E14" s="54"/>
      <c r="F14" s="54" t="s">
        <v>371</v>
      </c>
      <c r="G14" s="54"/>
      <c r="H14" s="54" t="s">
        <v>372</v>
      </c>
      <c r="I14" s="54"/>
      <c r="J14" s="54" t="s">
        <v>373</v>
      </c>
      <c r="K14" s="54"/>
      <c r="L14" s="53" t="s">
        <v>174</v>
      </c>
      <c r="M14" s="53" t="s">
        <v>125</v>
      </c>
    </row>
    <row r="15" customFormat="false" ht="15" hidden="false" customHeight="true" outlineLevel="0" collapsed="false">
      <c r="A15" s="53"/>
      <c r="B15" s="55" t="s">
        <v>272</v>
      </c>
      <c r="C15" s="55" t="s">
        <v>273</v>
      </c>
      <c r="D15" s="55" t="s">
        <v>272</v>
      </c>
      <c r="E15" s="55" t="s">
        <v>273</v>
      </c>
      <c r="F15" s="55" t="s">
        <v>272</v>
      </c>
      <c r="G15" s="55" t="s">
        <v>273</v>
      </c>
      <c r="H15" s="55" t="s">
        <v>272</v>
      </c>
      <c r="I15" s="55" t="s">
        <v>273</v>
      </c>
      <c r="J15" s="55" t="s">
        <v>272</v>
      </c>
      <c r="K15" s="55" t="s">
        <v>273</v>
      </c>
      <c r="L15" s="53"/>
      <c r="M15" s="53"/>
    </row>
    <row r="16" customFormat="false" ht="38.25" hidden="false" customHeight="true" outlineLevel="0" collapsed="false">
      <c r="A16" s="57" t="s">
        <v>344</v>
      </c>
      <c r="B16" s="58" t="n">
        <f aca="false">'WCAG - End-Users'!AH13</f>
        <v>23</v>
      </c>
      <c r="C16" s="59" t="n">
        <f aca="false">'WCAG - End-Users'!AH13/COUNT('WCAG - End-Users'!$C13:$AF13)</f>
        <v>0.766666666666667</v>
      </c>
      <c r="D16" s="58" t="n">
        <f aca="false">'WCAG - End-Users'!AI13</f>
        <v>6</v>
      </c>
      <c r="E16" s="59" t="n">
        <f aca="false">'WCAG - End-Users'!AI13/COUNT('WCAG - End-Users'!$C13:$AF13)</f>
        <v>0.2</v>
      </c>
      <c r="F16" s="58" t="n">
        <f aca="false">'WCAG - End-Users'!AJ13</f>
        <v>1</v>
      </c>
      <c r="G16" s="59" t="n">
        <f aca="false">'WCAG - End-Users'!AJ13/COUNT('WCAG - End-Users'!$C13:$AF13)</f>
        <v>0.0333333333333333</v>
      </c>
      <c r="H16" s="58" t="n">
        <f aca="false">'WCAG - End-Users'!AK13</f>
        <v>0</v>
      </c>
      <c r="I16" s="59" t="n">
        <f aca="false">'WCAG - End-Users'!AK13/COUNT('WCAG - End-Users'!$C13:$AF13)</f>
        <v>0</v>
      </c>
      <c r="J16" s="58" t="n">
        <f aca="false">'WCAG - End-Users'!AL13</f>
        <v>0</v>
      </c>
      <c r="K16" s="59" t="n">
        <f aca="false">'WCAG - End-Users'!AL13/COUNT('WCAG - End-Users'!$C13:$AF13)</f>
        <v>0</v>
      </c>
      <c r="L16" s="60" t="n">
        <f aca="false">'WCAG - End-Users'!AG13</f>
        <v>4.73333333333333</v>
      </c>
      <c r="M16" s="58" t="str">
        <f aca="false">IF('WCAG - End-Users'!AG13&gt;='Scoring Rubrics'!$A$78,'Scoring Rubrics'!$C$78,IF('WCAG - End-Users'!AG13&gt;='Scoring Rubrics'!$A$79,'Scoring Rubrics'!$C$79,IF('WCAG - End-Users'!AG13&gt;='Scoring Rubrics'!$A$80,'Scoring Rubrics'!$C$80,IF('WCAG - End-Users'!AG13&gt;='Scoring Rubrics'!$A$81,'Scoring Rubrics'!$C$81,'Scoring Rubrics'!$C$82))))</f>
        <v>Highly Accessible</v>
      </c>
    </row>
    <row r="17" customFormat="false" ht="38.25" hidden="false" customHeight="true" outlineLevel="0" collapsed="false">
      <c r="A17" s="57" t="s">
        <v>345</v>
      </c>
      <c r="B17" s="58" t="n">
        <f aca="false">'WCAG - End-Users'!AH14</f>
        <v>22</v>
      </c>
      <c r="C17" s="59" t="n">
        <f aca="false">'WCAG - End-Users'!AH14/COUNT('WCAG - End-Users'!$C14:$AF14)</f>
        <v>0.733333333333333</v>
      </c>
      <c r="D17" s="58" t="n">
        <f aca="false">'WCAG - End-Users'!AI14</f>
        <v>5</v>
      </c>
      <c r="E17" s="59" t="n">
        <f aca="false">'WCAG - End-Users'!AI14/COUNT('WCAG - End-Users'!$C14:$AF14)</f>
        <v>0.166666666666667</v>
      </c>
      <c r="F17" s="58" t="n">
        <f aca="false">'WCAG - End-Users'!AJ14</f>
        <v>3</v>
      </c>
      <c r="G17" s="59" t="n">
        <f aca="false">'WCAG - End-Users'!AJ14/COUNT('WCAG - End-Users'!$C14:$AF14)</f>
        <v>0.1</v>
      </c>
      <c r="H17" s="58" t="n">
        <f aca="false">'WCAG - End-Users'!AK14</f>
        <v>0</v>
      </c>
      <c r="I17" s="59" t="n">
        <f aca="false">'WCAG - End-Users'!AK14/COUNT('WCAG - End-Users'!$C14:$AF14)</f>
        <v>0</v>
      </c>
      <c r="J17" s="58" t="n">
        <f aca="false">'WCAG - End-Users'!AL14</f>
        <v>0</v>
      </c>
      <c r="K17" s="59" t="n">
        <f aca="false">'WCAG - End-Users'!AL14/COUNT('WCAG - End-Users'!$C14:$AF14)</f>
        <v>0</v>
      </c>
      <c r="L17" s="60" t="n">
        <f aca="false">'WCAG - End-Users'!AG14</f>
        <v>4.63333333333333</v>
      </c>
      <c r="M17" s="58" t="str">
        <f aca="false">IF('WCAG - End-Users'!AG14&gt;='Scoring Rubrics'!$A$78,'Scoring Rubrics'!$C$78,IF('WCAG - End-Users'!AG14&gt;='Scoring Rubrics'!$A$79,'Scoring Rubrics'!$C$79,IF('WCAG - End-Users'!AG14&gt;='Scoring Rubrics'!$A$80,'Scoring Rubrics'!$C$80,IF('WCAG - End-Users'!AG14&gt;='Scoring Rubrics'!$A$81,'Scoring Rubrics'!$C$81,'Scoring Rubrics'!$C$82))))</f>
        <v>Highly Accessible</v>
      </c>
    </row>
    <row r="18" customFormat="false" ht="38.25" hidden="false" customHeight="true" outlineLevel="0" collapsed="false">
      <c r="A18" s="57" t="s">
        <v>346</v>
      </c>
      <c r="B18" s="58" t="n">
        <f aca="false">'WCAG - End-Users'!AH15</f>
        <v>23</v>
      </c>
      <c r="C18" s="59" t="n">
        <f aca="false">'WCAG - End-Users'!AH15/COUNT('WCAG - End-Users'!$C15:$AF15)</f>
        <v>0.766666666666667</v>
      </c>
      <c r="D18" s="58" t="n">
        <f aca="false">'WCAG - End-Users'!AI15</f>
        <v>6</v>
      </c>
      <c r="E18" s="59" t="n">
        <f aca="false">'WCAG - End-Users'!AI15/COUNT('WCAG - End-Users'!$C15:$AF15)</f>
        <v>0.2</v>
      </c>
      <c r="F18" s="58" t="n">
        <f aca="false">'WCAG - End-Users'!AJ15</f>
        <v>1</v>
      </c>
      <c r="G18" s="59" t="n">
        <f aca="false">'WCAG - End-Users'!AJ15/COUNT('WCAG - End-Users'!$C15:$AF15)</f>
        <v>0.0333333333333333</v>
      </c>
      <c r="H18" s="58" t="n">
        <f aca="false">'WCAG - End-Users'!AK15</f>
        <v>0</v>
      </c>
      <c r="I18" s="59" t="n">
        <f aca="false">'WCAG - End-Users'!AK15/COUNT('WCAG - End-Users'!$C15:$AF15)</f>
        <v>0</v>
      </c>
      <c r="J18" s="58" t="n">
        <f aca="false">'WCAG - End-Users'!AL15</f>
        <v>0</v>
      </c>
      <c r="K18" s="59" t="n">
        <f aca="false">'WCAG - End-Users'!AL15/COUNT('WCAG - End-Users'!$C15:$AF15)</f>
        <v>0</v>
      </c>
      <c r="L18" s="60" t="n">
        <f aca="false">'WCAG - End-Users'!AG15</f>
        <v>4.73333333333333</v>
      </c>
      <c r="M18" s="58" t="str">
        <f aca="false">IF('WCAG - End-Users'!AG15&gt;='Scoring Rubrics'!$A$78,'Scoring Rubrics'!$C$78,IF('WCAG - End-Users'!AG15&gt;='Scoring Rubrics'!$A$79,'Scoring Rubrics'!$C$79,IF('WCAG - End-Users'!AG15&gt;='Scoring Rubrics'!$A$80,'Scoring Rubrics'!$C$80,IF('WCAG - End-Users'!AG15&gt;='Scoring Rubrics'!$A$81,'Scoring Rubrics'!$C$81,'Scoring Rubrics'!$C$82))))</f>
        <v>Highly Accessible</v>
      </c>
    </row>
    <row r="19" customFormat="false" ht="38.25" hidden="false" customHeight="true" outlineLevel="0" collapsed="false">
      <c r="A19" s="57" t="s">
        <v>347</v>
      </c>
      <c r="B19" s="58" t="n">
        <f aca="false">'WCAG - End-Users'!AH16</f>
        <v>25</v>
      </c>
      <c r="C19" s="59" t="n">
        <f aca="false">'WCAG - End-Users'!AH16/COUNT('WCAG - End-Users'!$C16:$AF16)</f>
        <v>0.833333333333333</v>
      </c>
      <c r="D19" s="58" t="n">
        <f aca="false">'WCAG - End-Users'!AI16</f>
        <v>4</v>
      </c>
      <c r="E19" s="59" t="n">
        <f aca="false">'WCAG - End-Users'!AI16/COUNT('WCAG - End-Users'!$C16:$AF16)</f>
        <v>0.133333333333333</v>
      </c>
      <c r="F19" s="58" t="n">
        <f aca="false">'WCAG - End-Users'!AJ16</f>
        <v>1</v>
      </c>
      <c r="G19" s="59" t="n">
        <f aca="false">'WCAG - End-Users'!AJ16/COUNT('WCAG - End-Users'!$C16:$AF16)</f>
        <v>0.0333333333333333</v>
      </c>
      <c r="H19" s="58" t="n">
        <f aca="false">'WCAG - End-Users'!AK16</f>
        <v>0</v>
      </c>
      <c r="I19" s="59" t="n">
        <f aca="false">'WCAG - End-Users'!AK16/COUNT('WCAG - End-Users'!$C16:$AF16)</f>
        <v>0</v>
      </c>
      <c r="J19" s="58" t="n">
        <f aca="false">'WCAG - End-Users'!AL16</f>
        <v>0</v>
      </c>
      <c r="K19" s="59" t="n">
        <f aca="false">'WCAG - End-Users'!AL16/COUNT('WCAG - End-Users'!$C16:$AF16)</f>
        <v>0</v>
      </c>
      <c r="L19" s="60" t="n">
        <f aca="false">'WCAG - End-Users'!AG16</f>
        <v>4.8</v>
      </c>
      <c r="M19" s="58" t="str">
        <f aca="false">IF('WCAG - End-Users'!AG16&gt;='Scoring Rubrics'!$A$78,'Scoring Rubrics'!$C$78,IF('WCAG - End-Users'!AG16&gt;='Scoring Rubrics'!$A$79,'Scoring Rubrics'!$C$79,IF('WCAG - End-Users'!AG16&gt;='Scoring Rubrics'!$A$80,'Scoring Rubrics'!$C$80,IF('WCAG - End-Users'!AG16&gt;='Scoring Rubrics'!$A$81,'Scoring Rubrics'!$C$81,'Scoring Rubrics'!$C$82))))</f>
        <v>Highly Accessible</v>
      </c>
    </row>
    <row r="20" customFormat="false" ht="15" hidden="false" customHeight="true" outlineLevel="0" collapsed="false">
      <c r="A20" s="68" t="s">
        <v>274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6" t="n">
        <f aca="false">'WCAG - End-Users'!AG17</f>
        <v>4.725</v>
      </c>
      <c r="M20" s="53" t="str">
        <f aca="false">IF('WCAG - End-Users'!AG17&gt;='Scoring Rubrics'!$A$78,'Scoring Rubrics'!$C$78,IF('WCAG - End-Users'!AG17&gt;='Scoring Rubrics'!$A$79,'Scoring Rubrics'!$C$79,IF('WCAG - End-Users'!AG17&gt;='Scoring Rubrics'!$A$80,'Scoring Rubrics'!$C$80,IF('WCAG - End-Users'!AG17&gt;='Scoring Rubrics'!$A$81,'Scoring Rubrics'!$C$81,'Scoring Rubrics'!$C$82))))</f>
        <v>Highly Accessible</v>
      </c>
    </row>
    <row r="21" customFormat="false" ht="25.5" hidden="false" customHeight="true" outlineLevel="0" collapsed="false">
      <c r="A21" s="64" t="s">
        <v>385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</row>
    <row r="24" customFormat="false" ht="15" hidden="false" customHeight="true" outlineLevel="0" collapsed="false">
      <c r="A24" s="2" t="s">
        <v>279</v>
      </c>
    </row>
    <row r="25" customFormat="false" ht="15" hidden="false" customHeight="true" outlineLevel="0" collapsed="false">
      <c r="A25" s="52" t="s">
        <v>387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</row>
    <row r="26" customFormat="false" ht="15" hidden="false" customHeight="true" outlineLevel="0" collapsed="false">
      <c r="A26" s="53" t="s">
        <v>168</v>
      </c>
      <c r="B26" s="54" t="s">
        <v>369</v>
      </c>
      <c r="C26" s="54"/>
      <c r="D26" s="54" t="s">
        <v>370</v>
      </c>
      <c r="E26" s="54"/>
      <c r="F26" s="54" t="s">
        <v>371</v>
      </c>
      <c r="G26" s="54"/>
      <c r="H26" s="54" t="s">
        <v>372</v>
      </c>
      <c r="I26" s="54"/>
      <c r="J26" s="54" t="s">
        <v>373</v>
      </c>
      <c r="K26" s="54"/>
      <c r="L26" s="53" t="s">
        <v>174</v>
      </c>
      <c r="M26" s="53" t="s">
        <v>125</v>
      </c>
    </row>
    <row r="27" customFormat="false" ht="15" hidden="false" customHeight="true" outlineLevel="0" collapsed="false">
      <c r="A27" s="53"/>
      <c r="B27" s="55" t="s">
        <v>272</v>
      </c>
      <c r="C27" s="55" t="s">
        <v>273</v>
      </c>
      <c r="D27" s="55" t="s">
        <v>272</v>
      </c>
      <c r="E27" s="55" t="s">
        <v>273</v>
      </c>
      <c r="F27" s="55" t="s">
        <v>272</v>
      </c>
      <c r="G27" s="55" t="s">
        <v>273</v>
      </c>
      <c r="H27" s="55" t="s">
        <v>272</v>
      </c>
      <c r="I27" s="55" t="s">
        <v>273</v>
      </c>
      <c r="J27" s="55" t="s">
        <v>272</v>
      </c>
      <c r="K27" s="55" t="s">
        <v>273</v>
      </c>
      <c r="L27" s="53"/>
      <c r="M27" s="53"/>
    </row>
    <row r="28" customFormat="false" ht="38.25" hidden="false" customHeight="true" outlineLevel="0" collapsed="false">
      <c r="A28" s="57" t="s">
        <v>350</v>
      </c>
      <c r="B28" s="58" t="n">
        <f aca="false">'WCAG - End-Users'!AH20</f>
        <v>20</v>
      </c>
      <c r="C28" s="59" t="n">
        <f aca="false">'WCAG - End-Users'!AH20/COUNT('WCAG - End-Users'!$C20:$AF20)</f>
        <v>0.666666666666667</v>
      </c>
      <c r="D28" s="58" t="n">
        <f aca="false">'WCAG - End-Users'!AI20</f>
        <v>8</v>
      </c>
      <c r="E28" s="59" t="n">
        <f aca="false">'WCAG - End-Users'!AI20/COUNT('WCAG - End-Users'!$C20:$AF20)</f>
        <v>0.266666666666667</v>
      </c>
      <c r="F28" s="58" t="n">
        <f aca="false">'WCAG - End-Users'!AJ20</f>
        <v>2</v>
      </c>
      <c r="G28" s="59" t="n">
        <f aca="false">'WCAG - End-Users'!AJ20/COUNT('WCAG - End-Users'!$C20:$AF20)</f>
        <v>0.0666666666666667</v>
      </c>
      <c r="H28" s="58" t="n">
        <f aca="false">'WCAG - End-Users'!AK20</f>
        <v>0</v>
      </c>
      <c r="I28" s="59" t="n">
        <f aca="false">'WCAG - End-Users'!AK20/COUNT('WCAG - End-Users'!$C20:$AF20)</f>
        <v>0</v>
      </c>
      <c r="J28" s="58" t="n">
        <f aca="false">'WCAG - End-Users'!AL20</f>
        <v>0</v>
      </c>
      <c r="K28" s="59" t="n">
        <f aca="false">'WCAG - End-Users'!AL20/COUNT('WCAG - End-Users'!$C20:$AF20)</f>
        <v>0</v>
      </c>
      <c r="L28" s="60" t="n">
        <f aca="false">'WCAG - End-Users'!AG20</f>
        <v>4.6</v>
      </c>
      <c r="M28" s="58" t="str">
        <f aca="false">IF('WCAG - End-Users'!AG20&gt;='Scoring Rubrics'!$A$78,'Scoring Rubrics'!$C$78,IF('WCAG - End-Users'!AG20&gt;='Scoring Rubrics'!$A$79,'Scoring Rubrics'!$C$79,IF('WCAG - End-Users'!AG20&gt;='Scoring Rubrics'!$A$80,'Scoring Rubrics'!$C$80,IF('WCAG - End-Users'!AG20&gt;='Scoring Rubrics'!$A$81,'Scoring Rubrics'!$C$81,'Scoring Rubrics'!$C$82))))</f>
        <v>Highly Accessible</v>
      </c>
    </row>
    <row r="29" customFormat="false" ht="25.5" hidden="false" customHeight="true" outlineLevel="0" collapsed="false">
      <c r="A29" s="57" t="s">
        <v>351</v>
      </c>
      <c r="B29" s="58" t="n">
        <f aca="false">'WCAG - End-Users'!AH21</f>
        <v>19</v>
      </c>
      <c r="C29" s="59" t="n">
        <f aca="false">'WCAG - End-Users'!AH21/COUNT('WCAG - End-Users'!$C21:$AF21)</f>
        <v>0.633333333333333</v>
      </c>
      <c r="D29" s="58" t="n">
        <f aca="false">'WCAG - End-Users'!AI21</f>
        <v>5</v>
      </c>
      <c r="E29" s="59" t="n">
        <f aca="false">'WCAG - End-Users'!AI21/COUNT('WCAG - End-Users'!$C21:$AF21)</f>
        <v>0.166666666666667</v>
      </c>
      <c r="F29" s="58" t="n">
        <f aca="false">'WCAG - End-Users'!AJ21</f>
        <v>6</v>
      </c>
      <c r="G29" s="59" t="n">
        <f aca="false">'WCAG - End-Users'!AJ21/COUNT('WCAG - End-Users'!$C21:$AF21)</f>
        <v>0.2</v>
      </c>
      <c r="H29" s="58" t="n">
        <f aca="false">'WCAG - End-Users'!AK21</f>
        <v>0</v>
      </c>
      <c r="I29" s="59" t="n">
        <f aca="false">'WCAG - End-Users'!AK21/COUNT('WCAG - End-Users'!$C21:$AF21)</f>
        <v>0</v>
      </c>
      <c r="J29" s="58" t="n">
        <f aca="false">'WCAG - End-Users'!AL21</f>
        <v>0</v>
      </c>
      <c r="K29" s="59" t="n">
        <f aca="false">'WCAG - End-Users'!AL21/COUNT('WCAG - End-Users'!$C21:$AF21)</f>
        <v>0</v>
      </c>
      <c r="L29" s="60" t="n">
        <f aca="false">'WCAG - End-Users'!AG21</f>
        <v>4.43333333333333</v>
      </c>
      <c r="M29" s="58" t="str">
        <f aca="false">IF('WCAG - End-Users'!AG21&gt;='Scoring Rubrics'!$A$78,'Scoring Rubrics'!$C$78,IF('WCAG - End-Users'!AG21&gt;='Scoring Rubrics'!$A$79,'Scoring Rubrics'!$C$79,IF('WCAG - End-Users'!AG21&gt;='Scoring Rubrics'!$A$80,'Scoring Rubrics'!$C$80,IF('WCAG - End-Users'!AG21&gt;='Scoring Rubrics'!$A$81,'Scoring Rubrics'!$C$81,'Scoring Rubrics'!$C$82))))</f>
        <v>Highly Accessible</v>
      </c>
    </row>
    <row r="30" customFormat="false" ht="38.25" hidden="false" customHeight="true" outlineLevel="0" collapsed="false">
      <c r="A30" s="57" t="s">
        <v>352</v>
      </c>
      <c r="B30" s="58" t="n">
        <f aca="false">'WCAG - End-Users'!AH22</f>
        <v>25</v>
      </c>
      <c r="C30" s="59" t="n">
        <f aca="false">'WCAG - End-Users'!AH22/COUNT('WCAG - End-Users'!$C22:$AF22)</f>
        <v>0.833333333333333</v>
      </c>
      <c r="D30" s="58" t="n">
        <f aca="false">'WCAG - End-Users'!AI22</f>
        <v>4</v>
      </c>
      <c r="E30" s="59" t="n">
        <f aca="false">'WCAG - End-Users'!AI22/COUNT('WCAG - End-Users'!$C22:$AF22)</f>
        <v>0.133333333333333</v>
      </c>
      <c r="F30" s="58" t="n">
        <f aca="false">'WCAG - End-Users'!AJ22</f>
        <v>0</v>
      </c>
      <c r="G30" s="59" t="n">
        <f aca="false">'WCAG - End-Users'!AJ22/COUNT('WCAG - End-Users'!$C22:$AF22)</f>
        <v>0</v>
      </c>
      <c r="H30" s="58" t="n">
        <f aca="false">'WCAG - End-Users'!AK22</f>
        <v>1</v>
      </c>
      <c r="I30" s="59" t="n">
        <f aca="false">'WCAG - End-Users'!AK22/COUNT('WCAG - End-Users'!$C22:$AF22)</f>
        <v>0.0333333333333333</v>
      </c>
      <c r="J30" s="58" t="n">
        <f aca="false">'WCAG - End-Users'!AL22</f>
        <v>0</v>
      </c>
      <c r="K30" s="59" t="n">
        <f aca="false">'WCAG - End-Users'!AL22/COUNT('WCAG - End-Users'!$C22:$AF22)</f>
        <v>0</v>
      </c>
      <c r="L30" s="60" t="n">
        <f aca="false">'WCAG - End-Users'!AG22</f>
        <v>4.76666666666667</v>
      </c>
      <c r="M30" s="58" t="str">
        <f aca="false">IF('WCAG - End-Users'!AG22&gt;='Scoring Rubrics'!$A$78,'Scoring Rubrics'!$C$78,IF('WCAG - End-Users'!AG22&gt;='Scoring Rubrics'!$A$79,'Scoring Rubrics'!$C$79,IF('WCAG - End-Users'!AG22&gt;='Scoring Rubrics'!$A$80,'Scoring Rubrics'!$C$80,IF('WCAG - End-Users'!AG22&gt;='Scoring Rubrics'!$A$81,'Scoring Rubrics'!$C$81,'Scoring Rubrics'!$C$82))))</f>
        <v>Highly Accessible</v>
      </c>
    </row>
    <row r="31" customFormat="false" ht="25.5" hidden="false" customHeight="true" outlineLevel="0" collapsed="false">
      <c r="A31" s="57" t="s">
        <v>353</v>
      </c>
      <c r="B31" s="58" t="n">
        <f aca="false">'WCAG - End-Users'!AH23</f>
        <v>24</v>
      </c>
      <c r="C31" s="59" t="n">
        <f aca="false">'WCAG - End-Users'!AH23/COUNT('WCAG - End-Users'!$C23:$AF23)</f>
        <v>0.8</v>
      </c>
      <c r="D31" s="58" t="n">
        <f aca="false">'WCAG - End-Users'!AI23</f>
        <v>3</v>
      </c>
      <c r="E31" s="59" t="n">
        <f aca="false">'WCAG - End-Users'!AI23/COUNT('WCAG - End-Users'!$C23:$AF23)</f>
        <v>0.1</v>
      </c>
      <c r="F31" s="58" t="n">
        <f aca="false">'WCAG - End-Users'!AJ23</f>
        <v>2</v>
      </c>
      <c r="G31" s="59" t="n">
        <f aca="false">'WCAG - End-Users'!AJ23/COUNT('WCAG - End-Users'!$C23:$AF23)</f>
        <v>0.0666666666666667</v>
      </c>
      <c r="H31" s="58" t="n">
        <f aca="false">'WCAG - End-Users'!AK23</f>
        <v>1</v>
      </c>
      <c r="I31" s="59" t="n">
        <f aca="false">'WCAG - End-Users'!AK23/COUNT('WCAG - End-Users'!$C23:$AF23)</f>
        <v>0.0333333333333333</v>
      </c>
      <c r="J31" s="58" t="n">
        <f aca="false">'WCAG - End-Users'!AL23</f>
        <v>0</v>
      </c>
      <c r="K31" s="59" t="n">
        <f aca="false">'WCAG - End-Users'!AL23/COUNT('WCAG - End-Users'!$C23:$AF23)</f>
        <v>0</v>
      </c>
      <c r="L31" s="60" t="n">
        <f aca="false">'WCAG - End-Users'!AG23</f>
        <v>4.66666666666667</v>
      </c>
      <c r="M31" s="58" t="str">
        <f aca="false">IF('WCAG - End-Users'!AG23&gt;='Scoring Rubrics'!$A$78,'Scoring Rubrics'!$C$78,IF('WCAG - End-Users'!AG23&gt;='Scoring Rubrics'!$A$79,'Scoring Rubrics'!$C$79,IF('WCAG - End-Users'!AG23&gt;='Scoring Rubrics'!$A$80,'Scoring Rubrics'!$C$80,IF('WCAG - End-Users'!AG23&gt;='Scoring Rubrics'!$A$81,'Scoring Rubrics'!$C$81,'Scoring Rubrics'!$C$82))))</f>
        <v>Highly Accessible</v>
      </c>
    </row>
    <row r="32" customFormat="false" ht="25.5" hidden="false" customHeight="true" outlineLevel="0" collapsed="false">
      <c r="A32" s="57" t="s">
        <v>354</v>
      </c>
      <c r="B32" s="58" t="n">
        <f aca="false">'WCAG - End-Users'!AH24</f>
        <v>22</v>
      </c>
      <c r="C32" s="59" t="n">
        <f aca="false">'WCAG - End-Users'!AH24/COUNT('WCAG - End-Users'!$C24:$AF24)</f>
        <v>0.733333333333333</v>
      </c>
      <c r="D32" s="58" t="n">
        <f aca="false">'WCAG - End-Users'!AI24</f>
        <v>6</v>
      </c>
      <c r="E32" s="59" t="n">
        <f aca="false">'WCAG - End-Users'!AI24/COUNT('WCAG - End-Users'!$C24:$AF24)</f>
        <v>0.2</v>
      </c>
      <c r="F32" s="58" t="n">
        <f aca="false">'WCAG - End-Users'!AJ24</f>
        <v>2</v>
      </c>
      <c r="G32" s="59" t="n">
        <f aca="false">'WCAG - End-Users'!AJ24/COUNT('WCAG - End-Users'!$C24:$AF24)</f>
        <v>0.0666666666666667</v>
      </c>
      <c r="H32" s="58" t="n">
        <f aca="false">'WCAG - End-Users'!AK24</f>
        <v>0</v>
      </c>
      <c r="I32" s="59" t="n">
        <f aca="false">'WCAG - End-Users'!AK24/COUNT('WCAG - End-Users'!$C24:$AF24)</f>
        <v>0</v>
      </c>
      <c r="J32" s="58" t="n">
        <f aca="false">'WCAG - End-Users'!AL24</f>
        <v>0</v>
      </c>
      <c r="K32" s="59" t="n">
        <f aca="false">'WCAG - End-Users'!AL24/COUNT('WCAG - End-Users'!$C24:$AF24)</f>
        <v>0</v>
      </c>
      <c r="L32" s="60" t="n">
        <f aca="false">'WCAG - End-Users'!AG24</f>
        <v>4.66666666666667</v>
      </c>
      <c r="M32" s="58" t="str">
        <f aca="false">IF('WCAG - End-Users'!AG24&gt;='Scoring Rubrics'!$A$78,'Scoring Rubrics'!$C$78,IF('WCAG - End-Users'!AG24&gt;='Scoring Rubrics'!$A$79,'Scoring Rubrics'!$C$79,IF('WCAG - End-Users'!AG24&gt;='Scoring Rubrics'!$A$80,'Scoring Rubrics'!$C$80,IF('WCAG - End-Users'!AG24&gt;='Scoring Rubrics'!$A$81,'Scoring Rubrics'!$C$81,'Scoring Rubrics'!$C$82))))</f>
        <v>Highly Accessible</v>
      </c>
    </row>
    <row r="33" customFormat="false" ht="38.25" hidden="false" customHeight="true" outlineLevel="0" collapsed="false">
      <c r="A33" s="57" t="s">
        <v>355</v>
      </c>
      <c r="B33" s="58" t="n">
        <f aca="false">'WCAG - End-Users'!AH25</f>
        <v>23</v>
      </c>
      <c r="C33" s="59" t="n">
        <f aca="false">'WCAG - End-Users'!AH25/COUNT('WCAG - End-Users'!$C25:$AF25)</f>
        <v>0.766666666666667</v>
      </c>
      <c r="D33" s="58" t="n">
        <f aca="false">'WCAG - End-Users'!AI25</f>
        <v>7</v>
      </c>
      <c r="E33" s="59" t="n">
        <f aca="false">'WCAG - End-Users'!AI25/COUNT('WCAG - End-Users'!$C25:$AF25)</f>
        <v>0.233333333333333</v>
      </c>
      <c r="F33" s="58" t="n">
        <f aca="false">'WCAG - End-Users'!AJ25</f>
        <v>0</v>
      </c>
      <c r="G33" s="59" t="n">
        <f aca="false">'WCAG - End-Users'!AJ25/COUNT('WCAG - End-Users'!$C25:$AF25)</f>
        <v>0</v>
      </c>
      <c r="H33" s="58" t="n">
        <f aca="false">'WCAG - End-Users'!AK25</f>
        <v>0</v>
      </c>
      <c r="I33" s="59" t="n">
        <f aca="false">'WCAG - End-Users'!AK25/COUNT('WCAG - End-Users'!$C25:$AF25)</f>
        <v>0</v>
      </c>
      <c r="J33" s="58" t="n">
        <f aca="false">'WCAG - End-Users'!AL25</f>
        <v>0</v>
      </c>
      <c r="K33" s="59" t="n">
        <f aca="false">'WCAG - End-Users'!AL25/COUNT('WCAG - End-Users'!$C25:$AF25)</f>
        <v>0</v>
      </c>
      <c r="L33" s="60" t="n">
        <f aca="false">'WCAG - End-Users'!AG25</f>
        <v>4.76666666666667</v>
      </c>
      <c r="M33" s="58" t="str">
        <f aca="false">IF('WCAG - End-Users'!AG25&gt;='Scoring Rubrics'!$A$78,'Scoring Rubrics'!$C$78,IF('WCAG - End-Users'!AG25&gt;='Scoring Rubrics'!$A$79,'Scoring Rubrics'!$C$79,IF('WCAG - End-Users'!AG25&gt;='Scoring Rubrics'!$A$80,'Scoring Rubrics'!$C$80,IF('WCAG - End-Users'!AG25&gt;='Scoring Rubrics'!$A$81,'Scoring Rubrics'!$C$81,'Scoring Rubrics'!$C$82))))</f>
        <v>Highly Accessible</v>
      </c>
    </row>
    <row r="34" customFormat="false" ht="38.25" hidden="false" customHeight="true" outlineLevel="0" collapsed="false">
      <c r="A34" s="57" t="s">
        <v>356</v>
      </c>
      <c r="B34" s="58" t="n">
        <f aca="false">'WCAG - End-Users'!AH26</f>
        <v>6</v>
      </c>
      <c r="C34" s="59" t="n">
        <f aca="false">'WCAG - End-Users'!AH26/COUNT('WCAG - End-Users'!$C26:$AF26)</f>
        <v>0.2</v>
      </c>
      <c r="D34" s="58" t="n">
        <f aca="false">'WCAG - End-Users'!AI26</f>
        <v>10</v>
      </c>
      <c r="E34" s="59" t="n">
        <f aca="false">'WCAG - End-Users'!AI26/COUNT('WCAG - End-Users'!$C26:$AF26)</f>
        <v>0.333333333333333</v>
      </c>
      <c r="F34" s="58" t="n">
        <f aca="false">'WCAG - End-Users'!AJ26</f>
        <v>4</v>
      </c>
      <c r="G34" s="59" t="n">
        <f aca="false">'WCAG - End-Users'!AJ26/COUNT('WCAG - End-Users'!$C26:$AF26)</f>
        <v>0.133333333333333</v>
      </c>
      <c r="H34" s="58" t="n">
        <f aca="false">'WCAG - End-Users'!AK26</f>
        <v>3</v>
      </c>
      <c r="I34" s="59" t="n">
        <f aca="false">'WCAG - End-Users'!AK26/COUNT('WCAG - End-Users'!$C26:$AF26)</f>
        <v>0.1</v>
      </c>
      <c r="J34" s="58" t="n">
        <f aca="false">'WCAG - End-Users'!AL26</f>
        <v>7</v>
      </c>
      <c r="K34" s="59" t="n">
        <f aca="false">'WCAG - End-Users'!AL26/COUNT('WCAG - End-Users'!$C26:$AF26)</f>
        <v>0.233333333333333</v>
      </c>
      <c r="L34" s="60" t="n">
        <f aca="false">'WCAG - End-Users'!AG26</f>
        <v>3.16666666666667</v>
      </c>
      <c r="M34" s="58" t="str">
        <f aca="false">IF('WCAG - End-Users'!AG26&gt;='Scoring Rubrics'!$A$78,'Scoring Rubrics'!$C$78,IF('WCAG - End-Users'!AG26&gt;='Scoring Rubrics'!$A$79,'Scoring Rubrics'!$C$79,IF('WCAG - End-Users'!AG26&gt;='Scoring Rubrics'!$A$80,'Scoring Rubrics'!$C$80,IF('WCAG - End-Users'!AG26&gt;='Scoring Rubrics'!$A$81,'Scoring Rubrics'!$C$81,'Scoring Rubrics'!$C$82))))</f>
        <v>Moderately Accessible</v>
      </c>
    </row>
    <row r="35" customFormat="false" ht="38.25" hidden="false" customHeight="true" outlineLevel="0" collapsed="false">
      <c r="A35" s="57" t="s">
        <v>357</v>
      </c>
      <c r="B35" s="58" t="n">
        <f aca="false">'WCAG - End-Users'!AH27</f>
        <v>23</v>
      </c>
      <c r="C35" s="59" t="n">
        <f aca="false">'WCAG - End-Users'!AH27/COUNT('WCAG - End-Users'!$C27:$AF27)</f>
        <v>0.766666666666667</v>
      </c>
      <c r="D35" s="58" t="n">
        <f aca="false">'WCAG - End-Users'!AI27</f>
        <v>7</v>
      </c>
      <c r="E35" s="59" t="n">
        <f aca="false">'WCAG - End-Users'!AI27/COUNT('WCAG - End-Users'!$C27:$AF27)</f>
        <v>0.233333333333333</v>
      </c>
      <c r="F35" s="58" t="n">
        <f aca="false">'WCAG - End-Users'!AJ27</f>
        <v>0</v>
      </c>
      <c r="G35" s="59" t="n">
        <f aca="false">'WCAG - End-Users'!AJ27/COUNT('WCAG - End-Users'!$C27:$AF27)</f>
        <v>0</v>
      </c>
      <c r="H35" s="58" t="n">
        <f aca="false">'WCAG - End-Users'!AK27</f>
        <v>0</v>
      </c>
      <c r="I35" s="59" t="n">
        <f aca="false">'WCAG - End-Users'!AK27/COUNT('WCAG - End-Users'!$C27:$AF27)</f>
        <v>0</v>
      </c>
      <c r="J35" s="58" t="n">
        <f aca="false">'WCAG - End-Users'!AL27</f>
        <v>0</v>
      </c>
      <c r="K35" s="59" t="n">
        <f aca="false">'WCAG - End-Users'!AL27/COUNT('WCAG - End-Users'!$C27:$AF27)</f>
        <v>0</v>
      </c>
      <c r="L35" s="60" t="n">
        <f aca="false">'WCAG - End-Users'!AG27</f>
        <v>4.76666666666667</v>
      </c>
      <c r="M35" s="58" t="str">
        <f aca="false">IF('WCAG - End-Users'!AG27&gt;='Scoring Rubrics'!$A$78,'Scoring Rubrics'!$C$78,IF('WCAG - End-Users'!AG27&gt;='Scoring Rubrics'!$A$79,'Scoring Rubrics'!$C$79,IF('WCAG - End-Users'!AG27&gt;='Scoring Rubrics'!$A$80,'Scoring Rubrics'!$C$80,IF('WCAG - End-Users'!AG27&gt;='Scoring Rubrics'!$A$81,'Scoring Rubrics'!$C$81,'Scoring Rubrics'!$C$82))))</f>
        <v>Highly Accessible</v>
      </c>
    </row>
    <row r="36" customFormat="false" ht="38.25" hidden="false" customHeight="true" outlineLevel="0" collapsed="false">
      <c r="A36" s="57" t="s">
        <v>358</v>
      </c>
      <c r="B36" s="58" t="n">
        <f aca="false">'WCAG - End-Users'!AH28</f>
        <v>23</v>
      </c>
      <c r="C36" s="59" t="n">
        <f aca="false">'WCAG - End-Users'!AH28/COUNT('WCAG - End-Users'!$C28:$AF28)</f>
        <v>0.766666666666667</v>
      </c>
      <c r="D36" s="58" t="n">
        <f aca="false">'WCAG - End-Users'!AI28</f>
        <v>4</v>
      </c>
      <c r="E36" s="59" t="n">
        <f aca="false">'WCAG - End-Users'!AI28/COUNT('WCAG - End-Users'!$C28:$AF28)</f>
        <v>0.133333333333333</v>
      </c>
      <c r="F36" s="58" t="n">
        <f aca="false">'WCAG - End-Users'!AJ28</f>
        <v>2</v>
      </c>
      <c r="G36" s="59" t="n">
        <f aca="false">'WCAG - End-Users'!AJ28/COUNT('WCAG - End-Users'!$C28:$AF28)</f>
        <v>0.0666666666666667</v>
      </c>
      <c r="H36" s="58" t="n">
        <f aca="false">'WCAG - End-Users'!AK28</f>
        <v>1</v>
      </c>
      <c r="I36" s="59" t="n">
        <f aca="false">'WCAG - End-Users'!AK28/COUNT('WCAG - End-Users'!$C28:$AF28)</f>
        <v>0.0333333333333333</v>
      </c>
      <c r="J36" s="58" t="n">
        <f aca="false">'WCAG - End-Users'!AL28</f>
        <v>0</v>
      </c>
      <c r="K36" s="59" t="n">
        <f aca="false">'WCAG - End-Users'!AL28/COUNT('WCAG - End-Users'!$C28:$AF28)</f>
        <v>0</v>
      </c>
      <c r="L36" s="60" t="n">
        <f aca="false">'WCAG - End-Users'!AG28</f>
        <v>4.63333333333333</v>
      </c>
      <c r="M36" s="58" t="str">
        <f aca="false">IF('WCAG - End-Users'!AG28&gt;='Scoring Rubrics'!$A$78,'Scoring Rubrics'!$C$78,IF('WCAG - End-Users'!AG28&gt;='Scoring Rubrics'!$A$79,'Scoring Rubrics'!$C$79,IF('WCAG - End-Users'!AG28&gt;='Scoring Rubrics'!$A$80,'Scoring Rubrics'!$C$80,IF('WCAG - End-Users'!AG28&gt;='Scoring Rubrics'!$A$81,'Scoring Rubrics'!$C$81,'Scoring Rubrics'!$C$82))))</f>
        <v>Highly Accessible</v>
      </c>
    </row>
    <row r="37" customFormat="false" ht="15" hidden="false" customHeight="true" outlineLevel="0" collapsed="false">
      <c r="A37" s="68" t="s">
        <v>274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6" t="n">
        <f aca="false">'WCAG - End-Users'!AG29</f>
        <v>4.4962962962963</v>
      </c>
      <c r="M37" s="53" t="str">
        <f aca="false">IF('WCAG - End-Users'!AG29&gt;='Scoring Rubrics'!$A$78,'Scoring Rubrics'!$C$78,IF('WCAG - End-Users'!AG29&gt;='Scoring Rubrics'!$A$79,'Scoring Rubrics'!$C$79,IF('WCAG - End-Users'!AG29&gt;='Scoring Rubrics'!$A$80,'Scoring Rubrics'!$C$80,IF('WCAG - End-Users'!AG29&gt;='Scoring Rubrics'!$A$81,'Scoring Rubrics'!$C$81,'Scoring Rubrics'!$C$82))))</f>
        <v>Highly Accessible</v>
      </c>
    </row>
    <row r="38" customFormat="false" ht="25.5" hidden="false" customHeight="true" outlineLevel="0" collapsed="false">
      <c r="A38" s="64" t="s">
        <v>385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41" customFormat="false" ht="15" hidden="false" customHeight="true" outlineLevel="0" collapsed="false">
      <c r="A41" s="2" t="s">
        <v>282</v>
      </c>
    </row>
    <row r="42" customFormat="false" ht="15" hidden="false" customHeight="true" outlineLevel="0" collapsed="false">
      <c r="A42" s="52" t="s">
        <v>388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</row>
    <row r="43" customFormat="false" ht="15" hidden="false" customHeight="true" outlineLevel="0" collapsed="false">
      <c r="A43" s="53" t="s">
        <v>168</v>
      </c>
      <c r="B43" s="54" t="s">
        <v>369</v>
      </c>
      <c r="C43" s="54"/>
      <c r="D43" s="54" t="s">
        <v>370</v>
      </c>
      <c r="E43" s="54"/>
      <c r="F43" s="54" t="s">
        <v>371</v>
      </c>
      <c r="G43" s="54"/>
      <c r="H43" s="54" t="s">
        <v>372</v>
      </c>
      <c r="I43" s="54"/>
      <c r="J43" s="54" t="s">
        <v>373</v>
      </c>
      <c r="K43" s="54"/>
      <c r="L43" s="53" t="s">
        <v>174</v>
      </c>
      <c r="M43" s="53" t="s">
        <v>125</v>
      </c>
    </row>
    <row r="44" customFormat="false" ht="15" hidden="false" customHeight="true" outlineLevel="0" collapsed="false">
      <c r="A44" s="53"/>
      <c r="B44" s="55" t="s">
        <v>272</v>
      </c>
      <c r="C44" s="55" t="s">
        <v>273</v>
      </c>
      <c r="D44" s="55" t="s">
        <v>272</v>
      </c>
      <c r="E44" s="55" t="s">
        <v>273</v>
      </c>
      <c r="F44" s="55" t="s">
        <v>272</v>
      </c>
      <c r="G44" s="55" t="s">
        <v>273</v>
      </c>
      <c r="H44" s="55" t="s">
        <v>272</v>
      </c>
      <c r="I44" s="55" t="s">
        <v>273</v>
      </c>
      <c r="J44" s="55" t="s">
        <v>272</v>
      </c>
      <c r="K44" s="55" t="s">
        <v>273</v>
      </c>
      <c r="L44" s="53"/>
      <c r="M44" s="53"/>
    </row>
    <row r="45" customFormat="false" ht="38.25" hidden="false" customHeight="true" outlineLevel="0" collapsed="false">
      <c r="A45" s="57" t="s">
        <v>361</v>
      </c>
      <c r="B45" s="58" t="n">
        <f aca="false">'WCAG - End-Users'!AH32</f>
        <v>24</v>
      </c>
      <c r="C45" s="59" t="n">
        <f aca="false">'WCAG - End-Users'!AH32/COUNT('WCAG - End-Users'!$C32:$AF32)</f>
        <v>0.8</v>
      </c>
      <c r="D45" s="58" t="n">
        <f aca="false">'WCAG - End-Users'!AI32</f>
        <v>6</v>
      </c>
      <c r="E45" s="59" t="n">
        <f aca="false">'WCAG - End-Users'!AI32/COUNT('WCAG - End-Users'!$C32:$AF32)</f>
        <v>0.2</v>
      </c>
      <c r="F45" s="58" t="n">
        <f aca="false">'WCAG - End-Users'!AJ32</f>
        <v>0</v>
      </c>
      <c r="G45" s="59" t="n">
        <f aca="false">'WCAG - End-Users'!AJ32/COUNT('WCAG - End-Users'!$C32:$AF32)</f>
        <v>0</v>
      </c>
      <c r="H45" s="58" t="n">
        <f aca="false">'WCAG - End-Users'!AK32</f>
        <v>0</v>
      </c>
      <c r="I45" s="59" t="n">
        <f aca="false">'WCAG - End-Users'!AK32/COUNT('WCAG - End-Users'!$C32:$AF32)</f>
        <v>0</v>
      </c>
      <c r="J45" s="58" t="n">
        <f aca="false">'WCAG - End-Users'!AL32</f>
        <v>0</v>
      </c>
      <c r="K45" s="59" t="n">
        <f aca="false">'WCAG - End-Users'!AL32/COUNT('WCAG - End-Users'!$C32:$AF32)</f>
        <v>0</v>
      </c>
      <c r="L45" s="60" t="n">
        <f aca="false">'WCAG - End-Users'!AG32</f>
        <v>4.8</v>
      </c>
      <c r="M45" s="58" t="str">
        <f aca="false">IF('WCAG - End-Users'!AG32&gt;='Scoring Rubrics'!$A$78,'Scoring Rubrics'!$C$78,IF('WCAG - End-Users'!AG32&gt;='Scoring Rubrics'!$A$79,'Scoring Rubrics'!$C$79,IF('WCAG - End-Users'!AG32&gt;='Scoring Rubrics'!$A$80,'Scoring Rubrics'!$C$80,IF('WCAG - End-Users'!AG32&gt;='Scoring Rubrics'!$A$81,'Scoring Rubrics'!$C$81,'Scoring Rubrics'!$C$82))))</f>
        <v>Highly Accessible</v>
      </c>
    </row>
    <row r="46" customFormat="false" ht="38.25" hidden="false" customHeight="true" outlineLevel="0" collapsed="false">
      <c r="A46" s="57" t="s">
        <v>362</v>
      </c>
      <c r="B46" s="58" t="n">
        <f aca="false">'WCAG - End-Users'!AH33</f>
        <v>25</v>
      </c>
      <c r="C46" s="59" t="n">
        <f aca="false">'WCAG - End-Users'!AH33/COUNT('WCAG - End-Users'!$C33:$AF33)</f>
        <v>0.833333333333333</v>
      </c>
      <c r="D46" s="58" t="n">
        <f aca="false">'WCAG - End-Users'!AI33</f>
        <v>3</v>
      </c>
      <c r="E46" s="59" t="n">
        <f aca="false">'WCAG - End-Users'!AI33/COUNT('WCAG - End-Users'!$C33:$AF33)</f>
        <v>0.1</v>
      </c>
      <c r="F46" s="58" t="n">
        <f aca="false">'WCAG - End-Users'!AJ33</f>
        <v>1</v>
      </c>
      <c r="G46" s="59" t="n">
        <f aca="false">'WCAG - End-Users'!AJ33/COUNT('WCAG - End-Users'!$C33:$AF33)</f>
        <v>0.0333333333333333</v>
      </c>
      <c r="H46" s="58" t="n">
        <f aca="false">'WCAG - End-Users'!AK33</f>
        <v>1</v>
      </c>
      <c r="I46" s="59" t="n">
        <f aca="false">'WCAG - End-Users'!AK33/COUNT('WCAG - End-Users'!$C33:$AF33)</f>
        <v>0.0333333333333333</v>
      </c>
      <c r="J46" s="58" t="n">
        <f aca="false">'WCAG - End-Users'!AL33</f>
        <v>0</v>
      </c>
      <c r="K46" s="59" t="n">
        <f aca="false">'WCAG - End-Users'!AL33/COUNT('WCAG - End-Users'!$C33:$AF33)</f>
        <v>0</v>
      </c>
      <c r="L46" s="60" t="n">
        <f aca="false">'WCAG - End-Users'!AG33</f>
        <v>4.73333333333333</v>
      </c>
      <c r="M46" s="58" t="str">
        <f aca="false">IF('WCAG - End-Users'!AG33&gt;='Scoring Rubrics'!$A$78,'Scoring Rubrics'!$C$78,IF('WCAG - End-Users'!AG33&gt;='Scoring Rubrics'!$A$79,'Scoring Rubrics'!$C$79,IF('WCAG - End-Users'!AG33&gt;='Scoring Rubrics'!$A$80,'Scoring Rubrics'!$C$80,IF('WCAG - End-Users'!AG33&gt;='Scoring Rubrics'!$A$81,'Scoring Rubrics'!$C$81,'Scoring Rubrics'!$C$82))))</f>
        <v>Highly Accessible</v>
      </c>
    </row>
    <row r="47" customFormat="false" ht="38.25" hidden="false" customHeight="true" outlineLevel="0" collapsed="false">
      <c r="A47" s="57" t="s">
        <v>363</v>
      </c>
      <c r="B47" s="58" t="n">
        <f aca="false">'WCAG - End-Users'!AH34</f>
        <v>23</v>
      </c>
      <c r="C47" s="59" t="n">
        <f aca="false">'WCAG - End-Users'!AH34/COUNT('WCAG - End-Users'!$C34:$AF34)</f>
        <v>0.766666666666667</v>
      </c>
      <c r="D47" s="58" t="n">
        <f aca="false">'WCAG - End-Users'!AI34</f>
        <v>7</v>
      </c>
      <c r="E47" s="59" t="n">
        <f aca="false">'WCAG - End-Users'!AI34/COUNT('WCAG - End-Users'!$C34:$AF34)</f>
        <v>0.233333333333333</v>
      </c>
      <c r="F47" s="58" t="n">
        <f aca="false">'WCAG - End-Users'!AJ34</f>
        <v>0</v>
      </c>
      <c r="G47" s="59" t="n">
        <f aca="false">'WCAG - End-Users'!AJ34/COUNT('WCAG - End-Users'!$C34:$AF34)</f>
        <v>0</v>
      </c>
      <c r="H47" s="58" t="n">
        <f aca="false">'WCAG - End-Users'!AK34</f>
        <v>0</v>
      </c>
      <c r="I47" s="59" t="n">
        <f aca="false">'WCAG - End-Users'!AK34/COUNT('WCAG - End-Users'!$C34:$AF34)</f>
        <v>0</v>
      </c>
      <c r="J47" s="58" t="n">
        <f aca="false">'WCAG - End-Users'!AL34</f>
        <v>0</v>
      </c>
      <c r="K47" s="59" t="n">
        <f aca="false">'WCAG - End-Users'!AL34/COUNT('WCAG - End-Users'!$C34:$AF34)</f>
        <v>0</v>
      </c>
      <c r="L47" s="60" t="n">
        <f aca="false">'WCAG - End-Users'!AG34</f>
        <v>4.76666666666667</v>
      </c>
      <c r="M47" s="58" t="str">
        <f aca="false">IF('WCAG - End-Users'!AG34&gt;='Scoring Rubrics'!$A$78,'Scoring Rubrics'!$C$78,IF('WCAG - End-Users'!AG34&gt;='Scoring Rubrics'!$A$79,'Scoring Rubrics'!$C$79,IF('WCAG - End-Users'!AG34&gt;='Scoring Rubrics'!$A$80,'Scoring Rubrics'!$C$80,IF('WCAG - End-Users'!AG34&gt;='Scoring Rubrics'!$A$81,'Scoring Rubrics'!$C$81,'Scoring Rubrics'!$C$82))))</f>
        <v>Highly Accessible</v>
      </c>
    </row>
    <row r="48" customFormat="false" ht="38.25" hidden="false" customHeight="true" outlineLevel="0" collapsed="false">
      <c r="A48" s="57" t="s">
        <v>364</v>
      </c>
      <c r="B48" s="58" t="n">
        <f aca="false">'WCAG - End-Users'!AH35</f>
        <v>24</v>
      </c>
      <c r="C48" s="59" t="n">
        <f aca="false">'WCAG - End-Users'!AH35/COUNT('WCAG - End-Users'!$C35:$AF35)</f>
        <v>0.8</v>
      </c>
      <c r="D48" s="58" t="n">
        <f aca="false">'WCAG - End-Users'!AI35</f>
        <v>2</v>
      </c>
      <c r="E48" s="59" t="n">
        <f aca="false">'WCAG - End-Users'!AI35/COUNT('WCAG - End-Users'!$C35:$AF35)</f>
        <v>0.0666666666666667</v>
      </c>
      <c r="F48" s="58" t="n">
        <f aca="false">'WCAG - End-Users'!AJ35</f>
        <v>4</v>
      </c>
      <c r="G48" s="59" t="n">
        <f aca="false">'WCAG - End-Users'!AJ35/COUNT('WCAG - End-Users'!$C35:$AF35)</f>
        <v>0.133333333333333</v>
      </c>
      <c r="H48" s="58" t="n">
        <f aca="false">'WCAG - End-Users'!AK35</f>
        <v>0</v>
      </c>
      <c r="I48" s="59" t="n">
        <f aca="false">'WCAG - End-Users'!AK35/COUNT('WCAG - End-Users'!$C35:$AF35)</f>
        <v>0</v>
      </c>
      <c r="J48" s="58" t="n">
        <f aca="false">'WCAG - End-Users'!AL35</f>
        <v>0</v>
      </c>
      <c r="K48" s="59" t="n">
        <f aca="false">'WCAG - End-Users'!AL35/COUNT('WCAG - End-Users'!$C35:$AF35)</f>
        <v>0</v>
      </c>
      <c r="L48" s="60" t="n">
        <f aca="false">'WCAG - End-Users'!AG35</f>
        <v>4.66666666666667</v>
      </c>
      <c r="M48" s="58" t="str">
        <f aca="false">IF('WCAG - End-Users'!AG35&gt;='Scoring Rubrics'!$A$78,'Scoring Rubrics'!$C$78,IF('WCAG - End-Users'!AG35&gt;='Scoring Rubrics'!$A$79,'Scoring Rubrics'!$C$79,IF('WCAG - End-Users'!AG35&gt;='Scoring Rubrics'!$A$80,'Scoring Rubrics'!$C$80,IF('WCAG - End-Users'!AG35&gt;='Scoring Rubrics'!$A$81,'Scoring Rubrics'!$C$81,'Scoring Rubrics'!$C$82))))</f>
        <v>Highly Accessible</v>
      </c>
    </row>
    <row r="49" customFormat="false" ht="38.25" hidden="false" customHeight="true" outlineLevel="0" collapsed="false">
      <c r="A49" s="57" t="s">
        <v>365</v>
      </c>
      <c r="B49" s="58" t="n">
        <f aca="false">'WCAG - End-Users'!AH36</f>
        <v>24</v>
      </c>
      <c r="C49" s="59" t="n">
        <f aca="false">'WCAG - End-Users'!AH36/COUNT('WCAG - End-Users'!$C36:$AF36)</f>
        <v>0.8</v>
      </c>
      <c r="D49" s="58" t="n">
        <f aca="false">'WCAG - End-Users'!AI36</f>
        <v>2</v>
      </c>
      <c r="E49" s="59" t="n">
        <f aca="false">'WCAG - End-Users'!AI36/COUNT('WCAG - End-Users'!$C36:$AF36)</f>
        <v>0.0666666666666667</v>
      </c>
      <c r="F49" s="58" t="n">
        <f aca="false">'WCAG - End-Users'!AJ36</f>
        <v>4</v>
      </c>
      <c r="G49" s="59" t="n">
        <f aca="false">'WCAG - End-Users'!AJ36/COUNT('WCAG - End-Users'!$C36:$AF36)</f>
        <v>0.133333333333333</v>
      </c>
      <c r="H49" s="58" t="n">
        <f aca="false">'WCAG - End-Users'!AK36</f>
        <v>0</v>
      </c>
      <c r="I49" s="59" t="n">
        <f aca="false">'WCAG - End-Users'!AK36/COUNT('WCAG - End-Users'!$C36:$AF36)</f>
        <v>0</v>
      </c>
      <c r="J49" s="58" t="n">
        <f aca="false">'WCAG - End-Users'!AL36</f>
        <v>0</v>
      </c>
      <c r="K49" s="59" t="n">
        <f aca="false">'WCAG - End-Users'!AL36/COUNT('WCAG - End-Users'!$C36:$AF36)</f>
        <v>0</v>
      </c>
      <c r="L49" s="60" t="n">
        <f aca="false">'WCAG - End-Users'!AG36</f>
        <v>4.66666666666667</v>
      </c>
      <c r="M49" s="58" t="str">
        <f aca="false">IF('WCAG - End-Users'!AG36&gt;='Scoring Rubrics'!$A$78,'Scoring Rubrics'!$C$78,IF('WCAG - End-Users'!AG36&gt;='Scoring Rubrics'!$A$79,'Scoring Rubrics'!$C$79,IF('WCAG - End-Users'!AG36&gt;='Scoring Rubrics'!$A$80,'Scoring Rubrics'!$C$80,IF('WCAG - End-Users'!AG36&gt;='Scoring Rubrics'!$A$81,'Scoring Rubrics'!$C$81,'Scoring Rubrics'!$C$82))))</f>
        <v>Highly Accessible</v>
      </c>
    </row>
    <row r="50" customFormat="false" ht="38.25" hidden="false" customHeight="true" outlineLevel="0" collapsed="false">
      <c r="A50" s="57" t="s">
        <v>366</v>
      </c>
      <c r="B50" s="58" t="n">
        <f aca="false">'WCAG - End-Users'!AH37</f>
        <v>23</v>
      </c>
      <c r="C50" s="59" t="n">
        <f aca="false">'WCAG - End-Users'!AH37/COUNT('WCAG - End-Users'!$C37:$AF37)</f>
        <v>0.766666666666667</v>
      </c>
      <c r="D50" s="58" t="n">
        <f aca="false">'WCAG - End-Users'!AI37</f>
        <v>3</v>
      </c>
      <c r="E50" s="59" t="n">
        <f aca="false">'WCAG - End-Users'!AI37/COUNT('WCAG - End-Users'!$C37:$AF37)</f>
        <v>0.1</v>
      </c>
      <c r="F50" s="58" t="n">
        <f aca="false">'WCAG - End-Users'!AJ37</f>
        <v>4</v>
      </c>
      <c r="G50" s="59" t="n">
        <f aca="false">'WCAG - End-Users'!AJ37/COUNT('WCAG - End-Users'!$C37:$AF37)</f>
        <v>0.133333333333333</v>
      </c>
      <c r="H50" s="58" t="n">
        <f aca="false">'WCAG - End-Users'!AK37</f>
        <v>0</v>
      </c>
      <c r="I50" s="59" t="n">
        <f aca="false">'WCAG - End-Users'!AK37/COUNT('WCAG - End-Users'!$C37:$AF37)</f>
        <v>0</v>
      </c>
      <c r="J50" s="58" t="n">
        <f aca="false">'WCAG - End-Users'!AL37</f>
        <v>0</v>
      </c>
      <c r="K50" s="59" t="n">
        <f aca="false">'WCAG - End-Users'!AL37/COUNT('WCAG - End-Users'!$C37:$AF37)</f>
        <v>0</v>
      </c>
      <c r="L50" s="60" t="n">
        <f aca="false">'WCAG - End-Users'!AG37</f>
        <v>4.63333333333333</v>
      </c>
      <c r="M50" s="58" t="str">
        <f aca="false">IF('WCAG - End-Users'!AG37&gt;='Scoring Rubrics'!$A$78,'Scoring Rubrics'!$C$78,IF('WCAG - End-Users'!AG37&gt;='Scoring Rubrics'!$A$79,'Scoring Rubrics'!$C$79,IF('WCAG - End-Users'!AG37&gt;='Scoring Rubrics'!$A$80,'Scoring Rubrics'!$C$80,IF('WCAG - End-Users'!AG37&gt;='Scoring Rubrics'!$A$81,'Scoring Rubrics'!$C$81,'Scoring Rubrics'!$C$82))))</f>
        <v>Highly Accessible</v>
      </c>
    </row>
    <row r="51" customFormat="false" ht="15" hidden="false" customHeight="true" outlineLevel="0" collapsed="false">
      <c r="A51" s="68" t="s">
        <v>274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6" t="n">
        <f aca="false">'WCAG - End-Users'!AG38</f>
        <v>4.71111111111111</v>
      </c>
      <c r="M51" s="53" t="str">
        <f aca="false">IF('WCAG - End-Users'!AG38&gt;='Scoring Rubrics'!$A$78,'Scoring Rubrics'!$C$78,IF('WCAG - End-Users'!AG38&gt;='Scoring Rubrics'!$A$79,'Scoring Rubrics'!$C$79,IF('WCAG - End-Users'!AG38&gt;='Scoring Rubrics'!$A$80,'Scoring Rubrics'!$C$80,IF('WCAG - End-Users'!AG38&gt;='Scoring Rubrics'!$A$81,'Scoring Rubrics'!$C$81,'Scoring Rubrics'!$C$82))))</f>
        <v>Highly Accessible</v>
      </c>
    </row>
    <row r="52" customFormat="false" ht="25.5" hidden="false" customHeight="true" outlineLevel="0" collapsed="false">
      <c r="A52" s="64" t="s">
        <v>385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</row>
    <row r="55" customFormat="false" ht="15" hidden="false" customHeight="true" outlineLevel="0" collapsed="false">
      <c r="A55" s="2" t="s">
        <v>285</v>
      </c>
    </row>
    <row r="56" customFormat="false" ht="15" hidden="false" customHeight="true" outlineLevel="0" collapsed="false">
      <c r="A56" s="52" t="s">
        <v>389</v>
      </c>
      <c r="B56" s="52"/>
      <c r="C56" s="52"/>
      <c r="D56" s="52"/>
      <c r="E56" s="52"/>
      <c r="F56" s="52"/>
      <c r="G56" s="52"/>
      <c r="H56" s="52"/>
    </row>
    <row r="57" customFormat="false" ht="15" hidden="false" customHeight="true" outlineLevel="0" collapsed="false">
      <c r="A57" s="63" t="s">
        <v>299</v>
      </c>
      <c r="B57" s="63" t="s">
        <v>174</v>
      </c>
      <c r="C57" s="63"/>
      <c r="D57" s="44" t="s">
        <v>125</v>
      </c>
      <c r="E57" s="44"/>
      <c r="F57" s="44"/>
      <c r="G57" s="44"/>
      <c r="H57" s="44"/>
    </row>
    <row r="58" customFormat="false" ht="15" hidden="false" customHeight="true" outlineLevel="0" collapsed="false">
      <c r="A58" s="58" t="s">
        <v>379</v>
      </c>
      <c r="B58" s="65" t="n">
        <f aca="false">'WCAG - End-Users'!AG10</f>
        <v>4.67777777777778</v>
      </c>
      <c r="C58" s="65"/>
      <c r="D58" s="46" t="str">
        <f aca="false">IF('WCAG - End-Users'!AG10&gt;='Scoring Rubrics'!$A$78,'Scoring Rubrics'!$C$78,IF('WCAG - End-Users'!AG10&gt;='Scoring Rubrics'!$A$79,'Scoring Rubrics'!$C$79,IF('WCAG - End-Users'!AG10&gt;='Scoring Rubrics'!$A$80,'Scoring Rubrics'!$C$80,IF('WCAG - End-Users'!AG10&gt;='Scoring Rubrics'!$A$81,'Scoring Rubrics'!$C$81,'Scoring Rubrics'!$C$82))))</f>
        <v>Highly Accessible</v>
      </c>
      <c r="E58" s="46"/>
      <c r="F58" s="46"/>
      <c r="G58" s="46"/>
      <c r="H58" s="46"/>
    </row>
    <row r="59" customFormat="false" ht="15" hidden="false" customHeight="true" outlineLevel="0" collapsed="false">
      <c r="A59" s="58" t="s">
        <v>380</v>
      </c>
      <c r="B59" s="65" t="n">
        <f aca="false">'WCAG - End-Users'!AG17</f>
        <v>4.725</v>
      </c>
      <c r="C59" s="65"/>
      <c r="D59" s="46" t="str">
        <f aca="false">IF('WCAG - End-Users'!AG17&gt;='Scoring Rubrics'!$A$78,'Scoring Rubrics'!$C$78,IF('WCAG - End-Users'!AG17&gt;='Scoring Rubrics'!$A$79,'Scoring Rubrics'!$C$79,IF('WCAG - End-Users'!AG17&gt;='Scoring Rubrics'!$A$80,'Scoring Rubrics'!$C$80,IF('WCAG - End-Users'!AG17&gt;='Scoring Rubrics'!$A$81,'Scoring Rubrics'!$C$81,'Scoring Rubrics'!$C$82))))</f>
        <v>Highly Accessible</v>
      </c>
      <c r="E59" s="46"/>
      <c r="F59" s="46"/>
      <c r="G59" s="46"/>
      <c r="H59" s="46"/>
    </row>
    <row r="60" customFormat="false" ht="15" hidden="false" customHeight="true" outlineLevel="0" collapsed="false">
      <c r="A60" s="58" t="s">
        <v>381</v>
      </c>
      <c r="B60" s="65" t="n">
        <f aca="false">'WCAG - End-Users'!AG29</f>
        <v>4.4962962962963</v>
      </c>
      <c r="C60" s="65"/>
      <c r="D60" s="46" t="str">
        <f aca="false">IF('WCAG - End-Users'!AG29&gt;='Scoring Rubrics'!$A$78,'Scoring Rubrics'!$C$78,IF('WCAG - End-Users'!AG29&gt;='Scoring Rubrics'!$A$79,'Scoring Rubrics'!$C$79,IF('WCAG - End-Users'!AG29&gt;='Scoring Rubrics'!$A$80,'Scoring Rubrics'!$C$80,IF('WCAG - End-Users'!AG29&gt;='Scoring Rubrics'!$A$81,'Scoring Rubrics'!$C$81,'Scoring Rubrics'!$C$82))))</f>
        <v>Highly Accessible</v>
      </c>
      <c r="E60" s="46"/>
      <c r="F60" s="46"/>
      <c r="G60" s="46"/>
      <c r="H60" s="46"/>
    </row>
    <row r="61" customFormat="false" ht="15" hidden="false" customHeight="true" outlineLevel="0" collapsed="false">
      <c r="A61" s="58" t="s">
        <v>382</v>
      </c>
      <c r="B61" s="65" t="n">
        <f aca="false">'WCAG - End-Users'!AG38</f>
        <v>4.71111111111111</v>
      </c>
      <c r="C61" s="65"/>
      <c r="D61" s="46" t="str">
        <f aca="false">IF('WCAG - End-Users'!AG38&gt;='Scoring Rubrics'!$A$78,'Scoring Rubrics'!$C$78,IF('WCAG - End-Users'!AG38&gt;='Scoring Rubrics'!$A$79,'Scoring Rubrics'!$C$79,IF('WCAG - End-Users'!AG38&gt;='Scoring Rubrics'!$A$80,'Scoring Rubrics'!$C$80,IF('WCAG - End-Users'!AG38&gt;='Scoring Rubrics'!$A$81,'Scoring Rubrics'!$C$81,'Scoring Rubrics'!$C$82))))</f>
        <v>Highly Accessible</v>
      </c>
      <c r="E61" s="46"/>
      <c r="F61" s="46"/>
      <c r="G61" s="46"/>
      <c r="H61" s="46"/>
    </row>
    <row r="62" customFormat="false" ht="15" hidden="false" customHeight="true" outlineLevel="0" collapsed="false">
      <c r="A62" s="53" t="s">
        <v>308</v>
      </c>
      <c r="B62" s="66" t="n">
        <f aca="false">'WCAG - End-Users'!AG40</f>
        <v>4.6525462962963</v>
      </c>
      <c r="C62" s="66"/>
      <c r="D62" s="67" t="str">
        <f aca="false">IF('WCAG - End-Users'!AG40&gt;='Scoring Rubrics'!$A$78,'Scoring Rubrics'!$C$78,IF('WCAG - End-Users'!AG40&gt;='Scoring Rubrics'!$A$79,'Scoring Rubrics'!$C$79,IF('WCAG - End-Users'!AG40&gt;='Scoring Rubrics'!$A$80,'Scoring Rubrics'!$C$80,IF('WCAG - End-Users'!AG40&gt;='Scoring Rubrics'!$A$81,'Scoring Rubrics'!$C$81,'Scoring Rubrics'!$C$82))))</f>
        <v>Highly Accessible</v>
      </c>
      <c r="E62" s="67"/>
      <c r="F62" s="67"/>
      <c r="G62" s="67"/>
      <c r="H62" s="67"/>
    </row>
    <row r="63" customFormat="false" ht="39.75" hidden="false" customHeight="true" outlineLevel="0" collapsed="false">
      <c r="A63" s="64" t="s">
        <v>385</v>
      </c>
      <c r="B63" s="64"/>
      <c r="C63" s="64"/>
      <c r="D63" s="64"/>
      <c r="E63" s="64"/>
      <c r="F63" s="64"/>
      <c r="G63" s="64"/>
      <c r="H63" s="64"/>
    </row>
  </sheetData>
  <mergeCells count="58">
    <mergeCell ref="A2:M2"/>
    <mergeCell ref="A3:A4"/>
    <mergeCell ref="B3:C3"/>
    <mergeCell ref="D3:E3"/>
    <mergeCell ref="F3:G3"/>
    <mergeCell ref="H3:I3"/>
    <mergeCell ref="J3:K3"/>
    <mergeCell ref="L3:L4"/>
    <mergeCell ref="M3:M4"/>
    <mergeCell ref="A8:K8"/>
    <mergeCell ref="A9:M9"/>
    <mergeCell ref="A13:M13"/>
    <mergeCell ref="A14:A15"/>
    <mergeCell ref="B14:C14"/>
    <mergeCell ref="D14:E14"/>
    <mergeCell ref="F14:G14"/>
    <mergeCell ref="H14:I14"/>
    <mergeCell ref="J14:K14"/>
    <mergeCell ref="L14:L15"/>
    <mergeCell ref="M14:M15"/>
    <mergeCell ref="A20:K20"/>
    <mergeCell ref="A21:M21"/>
    <mergeCell ref="A25:M25"/>
    <mergeCell ref="A26:A27"/>
    <mergeCell ref="B26:C26"/>
    <mergeCell ref="D26:E26"/>
    <mergeCell ref="F26:G26"/>
    <mergeCell ref="H26:I26"/>
    <mergeCell ref="J26:K26"/>
    <mergeCell ref="L26:L27"/>
    <mergeCell ref="M26:M27"/>
    <mergeCell ref="A37:K37"/>
    <mergeCell ref="A38:M38"/>
    <mergeCell ref="A42:M42"/>
    <mergeCell ref="A43:A44"/>
    <mergeCell ref="B43:C43"/>
    <mergeCell ref="D43:E43"/>
    <mergeCell ref="F43:G43"/>
    <mergeCell ref="H43:I43"/>
    <mergeCell ref="J43:K43"/>
    <mergeCell ref="L43:L44"/>
    <mergeCell ref="M43:M44"/>
    <mergeCell ref="A51:K51"/>
    <mergeCell ref="A52:M52"/>
    <mergeCell ref="A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1:C61"/>
    <mergeCell ref="D61:H61"/>
    <mergeCell ref="B62:C62"/>
    <mergeCell ref="D62:H62"/>
    <mergeCell ref="A63:H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Q13" activeCellId="0" sqref="Q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2" min="3" style="1" width="5.54"/>
    <col collapsed="false" customWidth="true" hidden="false" outlineLevel="0" max="33" min="33" style="1" width="8"/>
    <col collapsed="false" customWidth="true" hidden="false" outlineLevel="0" max="38" min="34" style="1" width="6.54"/>
  </cols>
  <sheetData>
    <row r="1" customFormat="false" ht="16.5" hidden="false" customHeight="true" outlineLevel="0" collapsed="false">
      <c r="A1" s="22" t="s">
        <v>390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customFormat="false" ht="14.25" hidden="false" customHeight="true" outlineLevel="0" collapsed="false">
      <c r="A2" s="23" t="s">
        <v>391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customFormat="false" ht="14.25" hidden="false" customHeight="true" outlineLevel="0" collapsed="false">
      <c r="A3" s="69" t="s">
        <v>392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</row>
    <row r="5" customFormat="false" ht="14.25" hidden="false" customHeight="true" outlineLevel="0" collapsed="false">
      <c r="A5" s="17" t="s">
        <v>167</v>
      </c>
      <c r="B5" s="17" t="s">
        <v>168</v>
      </c>
      <c r="C5" s="17" t="s">
        <v>169</v>
      </c>
      <c r="D5" s="17" t="s">
        <v>170</v>
      </c>
      <c r="E5" s="17" t="s">
        <v>171</v>
      </c>
      <c r="F5" s="17" t="s">
        <v>172</v>
      </c>
      <c r="G5" s="17" t="s">
        <v>173</v>
      </c>
      <c r="H5" s="17" t="s">
        <v>224</v>
      </c>
      <c r="I5" s="17" t="s">
        <v>225</v>
      </c>
      <c r="J5" s="17" t="s">
        <v>226</v>
      </c>
      <c r="K5" s="17" t="s">
        <v>227</v>
      </c>
      <c r="L5" s="17" t="s">
        <v>228</v>
      </c>
      <c r="M5" s="17" t="s">
        <v>229</v>
      </c>
      <c r="N5" s="17" t="s">
        <v>230</v>
      </c>
      <c r="O5" s="17" t="s">
        <v>231</v>
      </c>
      <c r="P5" s="17" t="s">
        <v>232</v>
      </c>
      <c r="Q5" s="17" t="s">
        <v>233</v>
      </c>
      <c r="R5" s="17" t="s">
        <v>234</v>
      </c>
      <c r="S5" s="17" t="s">
        <v>235</v>
      </c>
      <c r="T5" s="17" t="s">
        <v>236</v>
      </c>
      <c r="U5" s="17" t="s">
        <v>237</v>
      </c>
      <c r="V5" s="17" t="s">
        <v>238</v>
      </c>
      <c r="W5" s="17" t="s">
        <v>239</v>
      </c>
      <c r="X5" s="17" t="s">
        <v>240</v>
      </c>
      <c r="Y5" s="17" t="s">
        <v>241</v>
      </c>
      <c r="Z5" s="17" t="s">
        <v>242</v>
      </c>
      <c r="AA5" s="17" t="s">
        <v>243</v>
      </c>
      <c r="AB5" s="17" t="s">
        <v>244</v>
      </c>
      <c r="AC5" s="17" t="s">
        <v>245</v>
      </c>
      <c r="AD5" s="17" t="s">
        <v>246</v>
      </c>
      <c r="AE5" s="17" t="s">
        <v>247</v>
      </c>
      <c r="AF5" s="17" t="s">
        <v>248</v>
      </c>
      <c r="AG5" s="17" t="s">
        <v>393</v>
      </c>
      <c r="AH5" s="17" t="s">
        <v>249</v>
      </c>
      <c r="AI5" s="17" t="s">
        <v>250</v>
      </c>
      <c r="AJ5" s="17" t="s">
        <v>251</v>
      </c>
      <c r="AK5" s="17" t="s">
        <v>252</v>
      </c>
      <c r="AL5" s="17" t="s">
        <v>253</v>
      </c>
    </row>
    <row r="6" customFormat="false" ht="15" hidden="false" customHeight="true" outlineLevel="0" collapsed="false">
      <c r="A6" s="25" t="s">
        <v>394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14.25" hidden="false" customHeight="true" outlineLevel="0" collapsed="false">
      <c r="A7" s="26" t="n">
        <v>1</v>
      </c>
      <c r="B7" s="27" t="s">
        <v>395</v>
      </c>
      <c r="C7" s="28" t="n">
        <v>3</v>
      </c>
      <c r="D7" s="28" t="n">
        <v>2</v>
      </c>
      <c r="E7" s="28" t="n">
        <v>4</v>
      </c>
      <c r="F7" s="28" t="n">
        <v>1</v>
      </c>
      <c r="G7" s="28" t="n">
        <v>1</v>
      </c>
      <c r="H7" s="28" t="n">
        <v>5</v>
      </c>
      <c r="I7" s="28" t="n">
        <v>1</v>
      </c>
      <c r="J7" s="28" t="n">
        <v>3</v>
      </c>
      <c r="K7" s="28" t="n">
        <v>5</v>
      </c>
      <c r="L7" s="28" t="n">
        <v>1</v>
      </c>
      <c r="M7" s="28" t="n">
        <v>4</v>
      </c>
      <c r="N7" s="28" t="n">
        <v>1</v>
      </c>
      <c r="O7" s="28" t="n">
        <v>1</v>
      </c>
      <c r="P7" s="28" t="n">
        <v>2</v>
      </c>
      <c r="Q7" s="28" t="n">
        <v>1</v>
      </c>
      <c r="R7" s="28" t="n">
        <v>5</v>
      </c>
      <c r="S7" s="28" t="n">
        <v>5</v>
      </c>
      <c r="T7" s="28" t="n">
        <v>3</v>
      </c>
      <c r="U7" s="28" t="n">
        <v>2</v>
      </c>
      <c r="V7" s="28" t="n">
        <v>4</v>
      </c>
      <c r="W7" s="28" t="n">
        <v>3</v>
      </c>
      <c r="X7" s="28" t="n">
        <v>1</v>
      </c>
      <c r="Y7" s="28" t="n">
        <v>4</v>
      </c>
      <c r="Z7" s="28" t="n">
        <v>5</v>
      </c>
      <c r="AA7" s="28" t="n">
        <v>3</v>
      </c>
      <c r="AB7" s="28" t="n">
        <v>2</v>
      </c>
      <c r="AC7" s="28" t="n">
        <v>4</v>
      </c>
      <c r="AD7" s="28" t="n">
        <v>1</v>
      </c>
      <c r="AE7" s="28" t="n">
        <v>4</v>
      </c>
      <c r="AF7" s="28" t="n">
        <v>5</v>
      </c>
      <c r="AG7" s="29" t="n">
        <f aca="false">AVERAGE(C7:AF7)</f>
        <v>2.86666666666667</v>
      </c>
      <c r="AH7" s="26" t="n">
        <f aca="false">COUNTIF(C7:AF7,5)</f>
        <v>6</v>
      </c>
      <c r="AI7" s="26" t="n">
        <f aca="false">COUNTIF(C7:AF7,4)</f>
        <v>6</v>
      </c>
      <c r="AJ7" s="26" t="n">
        <f aca="false">COUNTIF(C7:AF7,3)</f>
        <v>5</v>
      </c>
      <c r="AK7" s="26" t="n">
        <f aca="false">COUNTIF(C7:AF7,2)</f>
        <v>4</v>
      </c>
      <c r="AL7" s="26" t="n">
        <f aca="false">COUNTIF(C7:AF7,1)</f>
        <v>9</v>
      </c>
    </row>
    <row r="8" customFormat="false" ht="14.25" hidden="false" customHeight="true" outlineLevel="0" collapsed="false">
      <c r="A8" s="26" t="n">
        <v>2</v>
      </c>
      <c r="B8" s="27" t="s">
        <v>396</v>
      </c>
      <c r="C8" s="28" t="n">
        <v>5</v>
      </c>
      <c r="D8" s="28" t="n">
        <v>2</v>
      </c>
      <c r="E8" s="28" t="n">
        <v>1</v>
      </c>
      <c r="F8" s="28" t="n">
        <v>1</v>
      </c>
      <c r="G8" s="28" t="n">
        <v>4</v>
      </c>
      <c r="H8" s="28" t="n">
        <v>4</v>
      </c>
      <c r="I8" s="28" t="n">
        <v>1</v>
      </c>
      <c r="J8" s="28" t="n">
        <v>2</v>
      </c>
      <c r="K8" s="28" t="n">
        <v>1</v>
      </c>
      <c r="L8" s="28" t="n">
        <v>5</v>
      </c>
      <c r="M8" s="28" t="n">
        <v>1</v>
      </c>
      <c r="N8" s="28" t="n">
        <v>1</v>
      </c>
      <c r="O8" s="28" t="n">
        <v>2</v>
      </c>
      <c r="P8" s="28" t="n">
        <v>3</v>
      </c>
      <c r="Q8" s="28" t="n">
        <v>4</v>
      </c>
      <c r="R8" s="28" t="n">
        <v>1</v>
      </c>
      <c r="S8" s="28" t="n">
        <v>4</v>
      </c>
      <c r="T8" s="28" t="n">
        <v>3</v>
      </c>
      <c r="U8" s="28" t="n">
        <v>4</v>
      </c>
      <c r="V8" s="28" t="n">
        <v>4</v>
      </c>
      <c r="W8" s="28" t="n">
        <v>3</v>
      </c>
      <c r="X8" s="28" t="n">
        <v>3</v>
      </c>
      <c r="Y8" s="28" t="n">
        <v>4</v>
      </c>
      <c r="Z8" s="28" t="n">
        <v>5</v>
      </c>
      <c r="AA8" s="28" t="n">
        <v>4</v>
      </c>
      <c r="AB8" s="28" t="n">
        <v>4</v>
      </c>
      <c r="AC8" s="28" t="n">
        <v>3</v>
      </c>
      <c r="AD8" s="28" t="n">
        <v>3</v>
      </c>
      <c r="AE8" s="28" t="n">
        <v>2</v>
      </c>
      <c r="AF8" s="28" t="n">
        <v>1</v>
      </c>
      <c r="AG8" s="29" t="n">
        <f aca="false">AVERAGE(C8:AF8)</f>
        <v>2.83333333333333</v>
      </c>
      <c r="AH8" s="26" t="n">
        <f aca="false">COUNTIF(C8:AF8,5)</f>
        <v>3</v>
      </c>
      <c r="AI8" s="26" t="n">
        <f aca="false">COUNTIF(C8:AF8,4)</f>
        <v>9</v>
      </c>
      <c r="AJ8" s="26" t="n">
        <f aca="false">COUNTIF(C8:AF8,3)</f>
        <v>6</v>
      </c>
      <c r="AK8" s="26" t="n">
        <f aca="false">COUNTIF(C8:AF8,2)</f>
        <v>4</v>
      </c>
      <c r="AL8" s="26" t="n">
        <f aca="false">COUNTIF(C8:AF8,1)</f>
        <v>8</v>
      </c>
    </row>
    <row r="9" customFormat="false" ht="14.25" hidden="false" customHeight="true" outlineLevel="0" collapsed="false">
      <c r="A9" s="26" t="n">
        <v>3</v>
      </c>
      <c r="B9" s="27" t="s">
        <v>397</v>
      </c>
      <c r="C9" s="28" t="n">
        <v>4</v>
      </c>
      <c r="D9" s="28" t="n">
        <v>1</v>
      </c>
      <c r="E9" s="28" t="n">
        <v>5</v>
      </c>
      <c r="F9" s="28" t="n">
        <v>1</v>
      </c>
      <c r="G9" s="28" t="n">
        <v>2</v>
      </c>
      <c r="H9" s="28" t="n">
        <v>5</v>
      </c>
      <c r="I9" s="28" t="n">
        <v>1</v>
      </c>
      <c r="J9" s="28" t="n">
        <v>5</v>
      </c>
      <c r="K9" s="28" t="n">
        <v>5</v>
      </c>
      <c r="L9" s="28" t="n">
        <v>4</v>
      </c>
      <c r="M9" s="28" t="n">
        <v>5</v>
      </c>
      <c r="N9" s="28" t="n">
        <v>5</v>
      </c>
      <c r="O9" s="28" t="n">
        <v>1</v>
      </c>
      <c r="P9" s="28" t="n">
        <v>2</v>
      </c>
      <c r="Q9" s="28" t="n">
        <v>2</v>
      </c>
      <c r="R9" s="28" t="n">
        <v>3</v>
      </c>
      <c r="S9" s="28" t="n">
        <v>4</v>
      </c>
      <c r="T9" s="28" t="n">
        <v>2</v>
      </c>
      <c r="U9" s="28" t="n">
        <v>3</v>
      </c>
      <c r="V9" s="28" t="n">
        <v>2</v>
      </c>
      <c r="W9" s="28" t="n">
        <v>1</v>
      </c>
      <c r="X9" s="28" t="n">
        <v>2</v>
      </c>
      <c r="Y9" s="28" t="n">
        <v>4</v>
      </c>
      <c r="Z9" s="28" t="n">
        <v>2</v>
      </c>
      <c r="AA9" s="28" t="n">
        <v>5</v>
      </c>
      <c r="AB9" s="28" t="n">
        <v>3</v>
      </c>
      <c r="AC9" s="28" t="n">
        <v>5</v>
      </c>
      <c r="AD9" s="28" t="n">
        <v>4</v>
      </c>
      <c r="AE9" s="28" t="n">
        <v>2</v>
      </c>
      <c r="AF9" s="28" t="n">
        <v>5</v>
      </c>
      <c r="AG9" s="29" t="n">
        <f aca="false">AVERAGE(C9:AF9)</f>
        <v>3.16666666666667</v>
      </c>
      <c r="AH9" s="26" t="n">
        <f aca="false">COUNTIF(C9:AF9,5)</f>
        <v>9</v>
      </c>
      <c r="AI9" s="26" t="n">
        <f aca="false">COUNTIF(C9:AF9,4)</f>
        <v>5</v>
      </c>
      <c r="AJ9" s="26" t="n">
        <f aca="false">COUNTIF(C9:AF9,3)</f>
        <v>3</v>
      </c>
      <c r="AK9" s="26" t="n">
        <f aca="false">COUNTIF(C9:AF9,2)</f>
        <v>8</v>
      </c>
      <c r="AL9" s="26" t="n">
        <f aca="false">COUNTIF(C9:AF9,1)</f>
        <v>5</v>
      </c>
    </row>
    <row r="10" customFormat="false" ht="22.5" hidden="false" customHeight="true" outlineLevel="0" collapsed="false">
      <c r="A10" s="26" t="n">
        <v>4</v>
      </c>
      <c r="B10" s="27" t="s">
        <v>398</v>
      </c>
      <c r="C10" s="28" t="n">
        <v>1</v>
      </c>
      <c r="D10" s="28" t="n">
        <v>2</v>
      </c>
      <c r="E10" s="28" t="n">
        <v>1</v>
      </c>
      <c r="F10" s="28" t="n">
        <v>5</v>
      </c>
      <c r="G10" s="28" t="n">
        <v>2</v>
      </c>
      <c r="H10" s="28" t="n">
        <v>3</v>
      </c>
      <c r="I10" s="28" t="n">
        <v>4</v>
      </c>
      <c r="J10" s="28" t="n">
        <v>2</v>
      </c>
      <c r="K10" s="28" t="n">
        <v>5</v>
      </c>
      <c r="L10" s="28" t="n">
        <v>1</v>
      </c>
      <c r="M10" s="28" t="n">
        <v>5</v>
      </c>
      <c r="N10" s="28" t="n">
        <v>3</v>
      </c>
      <c r="O10" s="28" t="n">
        <v>5</v>
      </c>
      <c r="P10" s="28" t="n">
        <v>5</v>
      </c>
      <c r="Q10" s="28" t="n">
        <v>4</v>
      </c>
      <c r="R10" s="28" t="n">
        <v>3</v>
      </c>
      <c r="S10" s="28" t="n">
        <v>3</v>
      </c>
      <c r="T10" s="28" t="n">
        <v>4</v>
      </c>
      <c r="U10" s="28" t="n">
        <v>2</v>
      </c>
      <c r="V10" s="28" t="n">
        <v>2</v>
      </c>
      <c r="W10" s="28" t="n">
        <v>5</v>
      </c>
      <c r="X10" s="28" t="n">
        <v>3</v>
      </c>
      <c r="Y10" s="28" t="n">
        <v>1</v>
      </c>
      <c r="Z10" s="28" t="n">
        <v>5</v>
      </c>
      <c r="AA10" s="28" t="n">
        <v>2</v>
      </c>
      <c r="AB10" s="28" t="n">
        <v>3</v>
      </c>
      <c r="AC10" s="28" t="n">
        <v>2</v>
      </c>
      <c r="AD10" s="28" t="n">
        <v>4</v>
      </c>
      <c r="AE10" s="28" t="n">
        <v>5</v>
      </c>
      <c r="AF10" s="28" t="n">
        <v>2</v>
      </c>
      <c r="AG10" s="29" t="n">
        <f aca="false">AVERAGE(C10:AF10)</f>
        <v>3.13333333333333</v>
      </c>
      <c r="AH10" s="26" t="n">
        <f aca="false">COUNTIF(C10:AF10,5)</f>
        <v>8</v>
      </c>
      <c r="AI10" s="26" t="n">
        <f aca="false">COUNTIF(C10:AF10,4)</f>
        <v>4</v>
      </c>
      <c r="AJ10" s="26" t="n">
        <f aca="false">COUNTIF(C10:AF10,3)</f>
        <v>6</v>
      </c>
      <c r="AK10" s="26" t="n">
        <f aca="false">COUNTIF(C10:AF10,2)</f>
        <v>8</v>
      </c>
      <c r="AL10" s="26" t="n">
        <f aca="false">COUNTIF(C10:AF10,1)</f>
        <v>4</v>
      </c>
    </row>
    <row r="11" customFormat="false" ht="14.25" hidden="false" customHeight="true" outlineLevel="0" collapsed="false">
      <c r="A11" s="26" t="n">
        <v>5</v>
      </c>
      <c r="B11" s="27" t="s">
        <v>399</v>
      </c>
      <c r="C11" s="28" t="n">
        <v>5</v>
      </c>
      <c r="D11" s="28" t="n">
        <v>3</v>
      </c>
      <c r="E11" s="28" t="n">
        <v>5</v>
      </c>
      <c r="F11" s="28" t="n">
        <v>2</v>
      </c>
      <c r="G11" s="28" t="n">
        <v>1</v>
      </c>
      <c r="H11" s="28" t="n">
        <v>5</v>
      </c>
      <c r="I11" s="28" t="n">
        <v>5</v>
      </c>
      <c r="J11" s="28" t="n">
        <v>2</v>
      </c>
      <c r="K11" s="28" t="n">
        <v>3</v>
      </c>
      <c r="L11" s="28" t="n">
        <v>1</v>
      </c>
      <c r="M11" s="28" t="n">
        <v>4</v>
      </c>
      <c r="N11" s="28" t="n">
        <v>4</v>
      </c>
      <c r="O11" s="28" t="n">
        <v>4</v>
      </c>
      <c r="P11" s="28" t="n">
        <v>1</v>
      </c>
      <c r="Q11" s="28" t="n">
        <v>5</v>
      </c>
      <c r="R11" s="28" t="n">
        <v>3</v>
      </c>
      <c r="S11" s="28" t="n">
        <v>1</v>
      </c>
      <c r="T11" s="28" t="n">
        <v>5</v>
      </c>
      <c r="U11" s="28" t="n">
        <v>5</v>
      </c>
      <c r="V11" s="28" t="n">
        <v>3</v>
      </c>
      <c r="W11" s="28" t="n">
        <v>5</v>
      </c>
      <c r="X11" s="28" t="n">
        <v>3</v>
      </c>
      <c r="Y11" s="28" t="n">
        <v>4</v>
      </c>
      <c r="Z11" s="28" t="n">
        <v>2</v>
      </c>
      <c r="AA11" s="28" t="n">
        <v>5</v>
      </c>
      <c r="AB11" s="28" t="n">
        <v>5</v>
      </c>
      <c r="AC11" s="28" t="n">
        <v>3</v>
      </c>
      <c r="AD11" s="28" t="n">
        <v>5</v>
      </c>
      <c r="AE11" s="28" t="n">
        <v>5</v>
      </c>
      <c r="AF11" s="28" t="n">
        <v>3</v>
      </c>
      <c r="AG11" s="29" t="n">
        <f aca="false">AVERAGE(C11:AF11)</f>
        <v>3.56666666666667</v>
      </c>
      <c r="AH11" s="26" t="n">
        <f aca="false">COUNTIF(C11:AF11,5)</f>
        <v>12</v>
      </c>
      <c r="AI11" s="26" t="n">
        <f aca="false">COUNTIF(C11:AF11,4)</f>
        <v>4</v>
      </c>
      <c r="AJ11" s="26" t="n">
        <f aca="false">COUNTIF(C11:AF11,3)</f>
        <v>7</v>
      </c>
      <c r="AK11" s="26" t="n">
        <f aca="false">COUNTIF(C11:AF11,2)</f>
        <v>3</v>
      </c>
      <c r="AL11" s="26" t="n">
        <f aca="false">COUNTIF(C11:AF11,1)</f>
        <v>4</v>
      </c>
    </row>
    <row r="12" customFormat="false" ht="14.25" hidden="false" customHeight="true" outlineLevel="0" collapsed="false">
      <c r="A12" s="26" t="n">
        <v>6</v>
      </c>
      <c r="B12" s="27" t="s">
        <v>400</v>
      </c>
      <c r="C12" s="28" t="n">
        <v>5</v>
      </c>
      <c r="D12" s="28" t="n">
        <v>1</v>
      </c>
      <c r="E12" s="28" t="n">
        <v>5</v>
      </c>
      <c r="F12" s="28" t="n">
        <v>1</v>
      </c>
      <c r="G12" s="28" t="n">
        <v>5</v>
      </c>
      <c r="H12" s="28" t="n">
        <v>2</v>
      </c>
      <c r="I12" s="28" t="n">
        <v>4</v>
      </c>
      <c r="J12" s="28" t="n">
        <v>5</v>
      </c>
      <c r="K12" s="28" t="n">
        <v>4</v>
      </c>
      <c r="L12" s="28" t="n">
        <v>3</v>
      </c>
      <c r="M12" s="28" t="n">
        <v>3</v>
      </c>
      <c r="N12" s="28" t="n">
        <v>4</v>
      </c>
      <c r="O12" s="28" t="n">
        <v>5</v>
      </c>
      <c r="P12" s="28" t="n">
        <v>2</v>
      </c>
      <c r="Q12" s="28" t="n">
        <v>1</v>
      </c>
      <c r="R12" s="28" t="n">
        <v>4</v>
      </c>
      <c r="S12" s="28" t="n">
        <v>5</v>
      </c>
      <c r="T12" s="28" t="n">
        <v>4</v>
      </c>
      <c r="U12" s="28" t="n">
        <v>4</v>
      </c>
      <c r="V12" s="28" t="n">
        <v>5</v>
      </c>
      <c r="W12" s="28" t="n">
        <v>3</v>
      </c>
      <c r="X12" s="28" t="n">
        <v>2</v>
      </c>
      <c r="Y12" s="28" t="n">
        <v>5</v>
      </c>
      <c r="Z12" s="28" t="n">
        <v>5</v>
      </c>
      <c r="AA12" s="28" t="n">
        <v>4</v>
      </c>
      <c r="AB12" s="28" t="n">
        <v>3</v>
      </c>
      <c r="AC12" s="28" t="n">
        <v>1</v>
      </c>
      <c r="AD12" s="28" t="n">
        <v>1</v>
      </c>
      <c r="AE12" s="28" t="n">
        <v>2</v>
      </c>
      <c r="AF12" s="28" t="n">
        <v>2</v>
      </c>
      <c r="AG12" s="29" t="n">
        <f aca="false">AVERAGE(C12:AF12)</f>
        <v>3.33333333333333</v>
      </c>
      <c r="AH12" s="26" t="n">
        <f aca="false">COUNTIF(C12:AF12,5)</f>
        <v>9</v>
      </c>
      <c r="AI12" s="26" t="n">
        <f aca="false">COUNTIF(C12:AF12,4)</f>
        <v>7</v>
      </c>
      <c r="AJ12" s="26" t="n">
        <f aca="false">COUNTIF(C12:AF12,3)</f>
        <v>4</v>
      </c>
      <c r="AK12" s="26" t="n">
        <f aca="false">COUNTIF(C12:AF12,2)</f>
        <v>5</v>
      </c>
      <c r="AL12" s="26" t="n">
        <f aca="false">COUNTIF(C12:AF12,1)</f>
        <v>5</v>
      </c>
    </row>
    <row r="13" customFormat="false" ht="22.5" hidden="false" customHeight="true" outlineLevel="0" collapsed="false">
      <c r="A13" s="26" t="n">
        <v>7</v>
      </c>
      <c r="B13" s="27" t="s">
        <v>401</v>
      </c>
      <c r="C13" s="28" t="n">
        <v>4</v>
      </c>
      <c r="D13" s="28" t="n">
        <v>5</v>
      </c>
      <c r="E13" s="28" t="n">
        <v>4</v>
      </c>
      <c r="F13" s="28" t="n">
        <v>3</v>
      </c>
      <c r="G13" s="28" t="n">
        <v>3</v>
      </c>
      <c r="H13" s="28" t="n">
        <v>2</v>
      </c>
      <c r="I13" s="28" t="n">
        <v>2</v>
      </c>
      <c r="J13" s="28" t="n">
        <v>2</v>
      </c>
      <c r="K13" s="28" t="n">
        <v>1</v>
      </c>
      <c r="L13" s="28" t="n">
        <v>5</v>
      </c>
      <c r="M13" s="28" t="n">
        <v>2</v>
      </c>
      <c r="N13" s="28" t="n">
        <v>4</v>
      </c>
      <c r="O13" s="28" t="n">
        <v>5</v>
      </c>
      <c r="P13" s="28" t="n">
        <v>4</v>
      </c>
      <c r="Q13" s="28" t="n">
        <v>4</v>
      </c>
      <c r="R13" s="28" t="n">
        <v>2</v>
      </c>
      <c r="S13" s="28" t="n">
        <v>4</v>
      </c>
      <c r="T13" s="28" t="n">
        <v>5</v>
      </c>
      <c r="U13" s="28" t="n">
        <v>2</v>
      </c>
      <c r="V13" s="28" t="n">
        <v>3</v>
      </c>
      <c r="W13" s="28" t="n">
        <v>1</v>
      </c>
      <c r="X13" s="28" t="n">
        <v>5</v>
      </c>
      <c r="Y13" s="28" t="n">
        <v>1</v>
      </c>
      <c r="Z13" s="28" t="n">
        <v>1</v>
      </c>
      <c r="AA13" s="28" t="n">
        <v>1</v>
      </c>
      <c r="AB13" s="28" t="n">
        <v>2</v>
      </c>
      <c r="AC13" s="28" t="n">
        <v>4</v>
      </c>
      <c r="AD13" s="28" t="n">
        <v>1</v>
      </c>
      <c r="AE13" s="28" t="n">
        <v>4</v>
      </c>
      <c r="AF13" s="28" t="n">
        <v>5</v>
      </c>
      <c r="AG13" s="29" t="n">
        <f aca="false">AVERAGE(C13:AF13)</f>
        <v>3.03333333333333</v>
      </c>
      <c r="AH13" s="26" t="n">
        <f aca="false">COUNTIF(C13:AF13,5)</f>
        <v>6</v>
      </c>
      <c r="AI13" s="26" t="n">
        <f aca="false">COUNTIF(C13:AF13,4)</f>
        <v>8</v>
      </c>
      <c r="AJ13" s="26" t="n">
        <f aca="false">COUNTIF(C13:AF13,3)</f>
        <v>3</v>
      </c>
      <c r="AK13" s="26" t="n">
        <f aca="false">COUNTIF(C13:AF13,2)</f>
        <v>7</v>
      </c>
      <c r="AL13" s="26" t="n">
        <f aca="false">COUNTIF(C13:AF13,1)</f>
        <v>6</v>
      </c>
    </row>
    <row r="14" customFormat="false" ht="14.25" hidden="false" customHeight="true" outlineLevel="0" collapsed="false">
      <c r="A14" s="26" t="n">
        <v>8</v>
      </c>
      <c r="B14" s="27" t="s">
        <v>402</v>
      </c>
      <c r="C14" s="28" t="n">
        <v>3</v>
      </c>
      <c r="D14" s="28" t="n">
        <v>5</v>
      </c>
      <c r="E14" s="28" t="n">
        <v>4</v>
      </c>
      <c r="F14" s="28" t="n">
        <v>3</v>
      </c>
      <c r="G14" s="28" t="n">
        <v>4</v>
      </c>
      <c r="H14" s="28" t="n">
        <v>3</v>
      </c>
      <c r="I14" s="28" t="n">
        <v>5</v>
      </c>
      <c r="J14" s="28" t="n">
        <v>1</v>
      </c>
      <c r="K14" s="28" t="n">
        <v>1</v>
      </c>
      <c r="L14" s="28" t="n">
        <v>5</v>
      </c>
      <c r="M14" s="28" t="n">
        <v>3</v>
      </c>
      <c r="N14" s="28" t="n">
        <v>5</v>
      </c>
      <c r="O14" s="28" t="n">
        <v>1</v>
      </c>
      <c r="P14" s="28" t="n">
        <v>4</v>
      </c>
      <c r="Q14" s="28" t="n">
        <v>2</v>
      </c>
      <c r="R14" s="28" t="n">
        <v>3</v>
      </c>
      <c r="S14" s="28" t="n">
        <v>3</v>
      </c>
      <c r="T14" s="28" t="n">
        <v>1</v>
      </c>
      <c r="U14" s="28" t="n">
        <v>1</v>
      </c>
      <c r="V14" s="28" t="n">
        <v>1</v>
      </c>
      <c r="W14" s="28" t="n">
        <v>3</v>
      </c>
      <c r="X14" s="28" t="n">
        <v>2</v>
      </c>
      <c r="Y14" s="28" t="n">
        <v>4</v>
      </c>
      <c r="Z14" s="28" t="n">
        <v>4</v>
      </c>
      <c r="AA14" s="28" t="n">
        <v>1</v>
      </c>
      <c r="AB14" s="28" t="n">
        <v>1</v>
      </c>
      <c r="AC14" s="28" t="n">
        <v>2</v>
      </c>
      <c r="AD14" s="28" t="n">
        <v>5</v>
      </c>
      <c r="AE14" s="28" t="n">
        <v>4</v>
      </c>
      <c r="AF14" s="28" t="n">
        <v>3</v>
      </c>
      <c r="AG14" s="29" t="n">
        <f aca="false">AVERAGE(C14:AF14)</f>
        <v>2.9</v>
      </c>
      <c r="AH14" s="26" t="n">
        <f aca="false">COUNTIF(C14:AF14,5)</f>
        <v>5</v>
      </c>
      <c r="AI14" s="26" t="n">
        <f aca="false">COUNTIF(C14:AF14,4)</f>
        <v>6</v>
      </c>
      <c r="AJ14" s="26" t="n">
        <f aca="false">COUNTIF(C14:AF14,3)</f>
        <v>8</v>
      </c>
      <c r="AK14" s="26" t="n">
        <f aca="false">COUNTIF(C14:AF14,2)</f>
        <v>3</v>
      </c>
      <c r="AL14" s="26" t="n">
        <f aca="false">COUNTIF(C14:AF14,1)</f>
        <v>8</v>
      </c>
    </row>
    <row r="15" customFormat="false" ht="14.25" hidden="false" customHeight="true" outlineLevel="0" collapsed="false">
      <c r="A15" s="26" t="n">
        <v>9</v>
      </c>
      <c r="B15" s="27" t="s">
        <v>403</v>
      </c>
      <c r="C15" s="28" t="n">
        <v>4</v>
      </c>
      <c r="D15" s="28" t="n">
        <v>2</v>
      </c>
      <c r="E15" s="28" t="n">
        <v>3</v>
      </c>
      <c r="F15" s="28" t="n">
        <v>2</v>
      </c>
      <c r="G15" s="28" t="n">
        <v>4</v>
      </c>
      <c r="H15" s="28" t="n">
        <v>4</v>
      </c>
      <c r="I15" s="28" t="n">
        <v>1</v>
      </c>
      <c r="J15" s="28" t="n">
        <v>1</v>
      </c>
      <c r="K15" s="28" t="n">
        <v>5</v>
      </c>
      <c r="L15" s="28" t="n">
        <v>5</v>
      </c>
      <c r="M15" s="28" t="n">
        <v>5</v>
      </c>
      <c r="N15" s="28" t="n">
        <v>2</v>
      </c>
      <c r="O15" s="28" t="n">
        <v>1</v>
      </c>
      <c r="P15" s="28" t="n">
        <v>1</v>
      </c>
      <c r="Q15" s="28" t="n">
        <v>3</v>
      </c>
      <c r="R15" s="28" t="n">
        <v>2</v>
      </c>
      <c r="S15" s="28" t="n">
        <v>2</v>
      </c>
      <c r="T15" s="28" t="n">
        <v>4</v>
      </c>
      <c r="U15" s="28" t="n">
        <v>4</v>
      </c>
      <c r="V15" s="28" t="n">
        <v>1</v>
      </c>
      <c r="W15" s="28" t="n">
        <v>5</v>
      </c>
      <c r="X15" s="28" t="n">
        <v>4</v>
      </c>
      <c r="Y15" s="28" t="n">
        <v>2</v>
      </c>
      <c r="Z15" s="28" t="n">
        <v>1</v>
      </c>
      <c r="AA15" s="28" t="n">
        <v>1</v>
      </c>
      <c r="AB15" s="28" t="n">
        <v>4</v>
      </c>
      <c r="AC15" s="28" t="n">
        <v>4</v>
      </c>
      <c r="AD15" s="28" t="n">
        <v>1</v>
      </c>
      <c r="AE15" s="28" t="n">
        <v>4</v>
      </c>
      <c r="AF15" s="28" t="n">
        <v>4</v>
      </c>
      <c r="AG15" s="29" t="n">
        <f aca="false">AVERAGE(C15:AF15)</f>
        <v>2.86666666666667</v>
      </c>
      <c r="AH15" s="26" t="n">
        <f aca="false">COUNTIF(C15:AF15,5)</f>
        <v>4</v>
      </c>
      <c r="AI15" s="26" t="n">
        <f aca="false">COUNTIF(C15:AF15,4)</f>
        <v>10</v>
      </c>
      <c r="AJ15" s="26" t="n">
        <f aca="false">COUNTIF(C15:AF15,3)</f>
        <v>2</v>
      </c>
      <c r="AK15" s="26" t="n">
        <f aca="false">COUNTIF(C15:AF15,2)</f>
        <v>6</v>
      </c>
      <c r="AL15" s="26" t="n">
        <f aca="false">COUNTIF(C15:AF15,1)</f>
        <v>8</v>
      </c>
    </row>
    <row r="16" customFormat="false" ht="14.25" hidden="false" customHeight="true" outlineLevel="0" collapsed="false">
      <c r="A16" s="26" t="n">
        <v>10</v>
      </c>
      <c r="B16" s="27" t="s">
        <v>404</v>
      </c>
      <c r="C16" s="28" t="n">
        <v>3</v>
      </c>
      <c r="D16" s="28" t="n">
        <v>3</v>
      </c>
      <c r="E16" s="28" t="n">
        <v>3</v>
      </c>
      <c r="F16" s="28" t="n">
        <v>5</v>
      </c>
      <c r="G16" s="28" t="n">
        <v>4</v>
      </c>
      <c r="H16" s="28" t="n">
        <v>5</v>
      </c>
      <c r="I16" s="28" t="n">
        <v>4</v>
      </c>
      <c r="J16" s="28" t="n">
        <v>1</v>
      </c>
      <c r="K16" s="28" t="n">
        <v>1</v>
      </c>
      <c r="L16" s="28" t="n">
        <v>3</v>
      </c>
      <c r="M16" s="28" t="n">
        <v>1</v>
      </c>
      <c r="N16" s="28" t="n">
        <v>4</v>
      </c>
      <c r="O16" s="28" t="n">
        <v>4</v>
      </c>
      <c r="P16" s="28" t="n">
        <v>3</v>
      </c>
      <c r="Q16" s="28" t="n">
        <v>1</v>
      </c>
      <c r="R16" s="28" t="n">
        <v>1</v>
      </c>
      <c r="S16" s="28" t="n">
        <v>4</v>
      </c>
      <c r="T16" s="28" t="n">
        <v>2</v>
      </c>
      <c r="U16" s="28" t="n">
        <v>4</v>
      </c>
      <c r="V16" s="28" t="n">
        <v>1</v>
      </c>
      <c r="W16" s="28" t="n">
        <v>3</v>
      </c>
      <c r="X16" s="28" t="n">
        <v>5</v>
      </c>
      <c r="Y16" s="28" t="n">
        <v>5</v>
      </c>
      <c r="Z16" s="28" t="n">
        <v>2</v>
      </c>
      <c r="AA16" s="28" t="n">
        <v>4</v>
      </c>
      <c r="AB16" s="28" t="n">
        <v>1</v>
      </c>
      <c r="AC16" s="28" t="n">
        <v>3</v>
      </c>
      <c r="AD16" s="28" t="n">
        <v>2</v>
      </c>
      <c r="AE16" s="28" t="n">
        <v>1</v>
      </c>
      <c r="AF16" s="28" t="n">
        <v>2</v>
      </c>
      <c r="AG16" s="29" t="n">
        <f aca="false">AVERAGE(C16:AF16)</f>
        <v>2.83333333333333</v>
      </c>
      <c r="AH16" s="26" t="n">
        <f aca="false">COUNTIF(C16:AF16,5)</f>
        <v>4</v>
      </c>
      <c r="AI16" s="26" t="n">
        <f aca="false">COUNTIF(C16:AF16,4)</f>
        <v>7</v>
      </c>
      <c r="AJ16" s="26" t="n">
        <f aca="false">COUNTIF(C16:AF16,3)</f>
        <v>7</v>
      </c>
      <c r="AK16" s="26" t="n">
        <f aca="false">COUNTIF(C16:AF16,2)</f>
        <v>4</v>
      </c>
      <c r="AL16" s="26" t="n">
        <f aca="false">COUNTIF(C16:AF16,1)</f>
        <v>8</v>
      </c>
    </row>
    <row r="18" customFormat="false" ht="14.25" hidden="false" customHeight="true" outlineLevel="0" collapsed="false">
      <c r="A18" s="69" t="s">
        <v>405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</row>
    <row r="19" customFormat="false" ht="14.25" hidden="false" customHeight="true" outlineLevel="0" collapsed="false">
      <c r="A19" s="70" t="s">
        <v>406</v>
      </c>
      <c r="B19" s="70"/>
      <c r="C19" s="71" t="n">
        <f aca="false">(C7-1)+(5-C8)+(C9-1)+(5-C10)+(C11-1)+(5-C12)+(C13-1)+(5-C14)+(C15-1)+(5-C16)</f>
        <v>23</v>
      </c>
      <c r="D19" s="71" t="n">
        <f aca="false">(D7-1)+(5-D8)+(D9-1)+(5-D10)+(D11-1)+(5-D12)+(D13-1)+(5-D14)+(D15-1)+(5-D16)</f>
        <v>20</v>
      </c>
      <c r="E19" s="71" t="n">
        <f aca="false">(E7-1)+(5-E8)+(E9-1)+(5-E10)+(E11-1)+(5-E12)+(E13-1)+(5-E14)+(E15-1)+(5-E16)</f>
        <v>27</v>
      </c>
      <c r="F19" s="71" t="n">
        <f aca="false">(F7-1)+(5-F8)+(F9-1)+(5-F10)+(F11-1)+(5-F12)+(F13-1)+(5-F14)+(F15-1)+(5-F16)</f>
        <v>14</v>
      </c>
      <c r="G19" s="71" t="n">
        <f aca="false">(G7-1)+(5-G8)+(G9-1)+(5-G10)+(G11-1)+(5-G12)+(G13-1)+(5-G14)+(G15-1)+(5-G16)</f>
        <v>12</v>
      </c>
      <c r="H19" s="71" t="n">
        <f aca="false">(H7-1)+(5-H8)+(H9-1)+(5-H10)+(H11-1)+(5-H12)+(H13-1)+(5-H14)+(H15-1)+(5-H16)</f>
        <v>24</v>
      </c>
      <c r="I19" s="71" t="n">
        <f aca="false">(I7-1)+(5-I8)+(I9-1)+(5-I10)+(I11-1)+(5-I12)+(I13-1)+(5-I14)+(I15-1)+(5-I16)</f>
        <v>12</v>
      </c>
      <c r="J19" s="71" t="n">
        <f aca="false">(J7-1)+(5-J8)+(J9-1)+(5-J10)+(J11-1)+(5-J12)+(J13-1)+(5-J14)+(J15-1)+(5-J16)</f>
        <v>22</v>
      </c>
      <c r="K19" s="71" t="n">
        <f aca="false">(K7-1)+(5-K8)+(K9-1)+(5-K10)+(K11-1)+(5-K12)+(K13-1)+(5-K14)+(K15-1)+(5-K16)</f>
        <v>27</v>
      </c>
      <c r="L19" s="71" t="n">
        <f aca="false">(L7-1)+(5-L8)+(L9-1)+(5-L10)+(L11-1)+(5-L12)+(L13-1)+(5-L14)+(L15-1)+(5-L16)</f>
        <v>19</v>
      </c>
      <c r="M19" s="71" t="n">
        <f aca="false">(M7-1)+(5-M8)+(M9-1)+(5-M10)+(M11-1)+(5-M12)+(M13-1)+(5-M14)+(M15-1)+(5-M16)</f>
        <v>27</v>
      </c>
      <c r="N19" s="71" t="n">
        <f aca="false">(N7-1)+(5-N8)+(N9-1)+(5-N10)+(N11-1)+(5-N12)+(N13-1)+(5-N14)+(N15-1)+(5-N16)</f>
        <v>19</v>
      </c>
      <c r="O19" s="71" t="n">
        <f aca="false">(O7-1)+(5-O8)+(O9-1)+(5-O10)+(O11-1)+(5-O12)+(O13-1)+(5-O14)+(O15-1)+(5-O16)</f>
        <v>15</v>
      </c>
      <c r="P19" s="71" t="n">
        <f aca="false">(P7-1)+(5-P8)+(P9-1)+(5-P10)+(P11-1)+(5-P12)+(P13-1)+(5-P14)+(P15-1)+(5-P16)</f>
        <v>13</v>
      </c>
      <c r="Q19" s="71" t="n">
        <f aca="false">(Q7-1)+(5-Q8)+(Q9-1)+(5-Q10)+(Q11-1)+(5-Q12)+(Q13-1)+(5-Q14)+(Q15-1)+(5-Q16)</f>
        <v>23</v>
      </c>
      <c r="R19" s="71" t="n">
        <f aca="false">(R7-1)+(5-R8)+(R9-1)+(5-R10)+(R11-1)+(5-R12)+(R13-1)+(5-R14)+(R15-1)+(5-R16)</f>
        <v>23</v>
      </c>
      <c r="S19" s="71" t="n">
        <f aca="false">(S7-1)+(5-S8)+(S9-1)+(5-S10)+(S11-1)+(5-S12)+(S13-1)+(5-S14)+(S15-1)+(5-S16)</f>
        <v>17</v>
      </c>
      <c r="T19" s="71" t="n">
        <f aca="false">(T7-1)+(5-T8)+(T9-1)+(5-T10)+(T11-1)+(5-T12)+(T13-1)+(5-T14)+(T15-1)+(5-T16)</f>
        <v>25</v>
      </c>
      <c r="U19" s="71" t="n">
        <f aca="false">(U7-1)+(5-U8)+(U9-1)+(5-U10)+(U11-1)+(5-U12)+(U13-1)+(5-U14)+(U15-1)+(5-U16)</f>
        <v>21</v>
      </c>
      <c r="V19" s="71" t="n">
        <f aca="false">(V7-1)+(5-V8)+(V9-1)+(5-V10)+(V11-1)+(5-V12)+(V13-1)+(5-V14)+(V15-1)+(5-V16)</f>
        <v>20</v>
      </c>
      <c r="W19" s="71" t="n">
        <f aca="false">(W7-1)+(5-W8)+(W9-1)+(5-W10)+(W11-1)+(5-W12)+(W13-1)+(5-W14)+(W15-1)+(5-W16)</f>
        <v>18</v>
      </c>
      <c r="X19" s="71" t="n">
        <f aca="false">(X7-1)+(5-X8)+(X9-1)+(5-X10)+(X11-1)+(5-X12)+(X13-1)+(5-X14)+(X15-1)+(5-X16)</f>
        <v>20</v>
      </c>
      <c r="Y19" s="71" t="n">
        <f aca="false">(Y7-1)+(5-Y8)+(Y9-1)+(5-Y10)+(Y11-1)+(5-Y12)+(Y13-1)+(5-Y14)+(Y15-1)+(5-Y16)</f>
        <v>16</v>
      </c>
      <c r="Z19" s="71" t="n">
        <f aca="false">(Z7-1)+(5-Z8)+(Z9-1)+(5-Z10)+(Z11-1)+(5-Z12)+(Z13-1)+(5-Z14)+(Z15-1)+(5-Z16)</f>
        <v>10</v>
      </c>
      <c r="AA19" s="71" t="n">
        <f aca="false">(AA7-1)+(5-AA8)+(AA9-1)+(5-AA10)+(AA11-1)+(5-AA12)+(AA13-1)+(5-AA14)+(AA15-1)+(5-AA16)</f>
        <v>20</v>
      </c>
      <c r="AB19" s="71" t="n">
        <f aca="false">(AB7-1)+(5-AB8)+(AB9-1)+(5-AB10)+(AB11-1)+(5-AB12)+(AB13-1)+(5-AB14)+(AB15-1)+(5-AB16)</f>
        <v>24</v>
      </c>
      <c r="AC19" s="71" t="n">
        <f aca="false">(AC7-1)+(5-AC8)+(AC9-1)+(5-AC10)+(AC11-1)+(5-AC12)+(AC13-1)+(5-AC14)+(AC15-1)+(5-AC16)</f>
        <v>29</v>
      </c>
      <c r="AD19" s="71" t="n">
        <f aca="false">(AD7-1)+(5-AD8)+(AD9-1)+(5-AD10)+(AD11-1)+(5-AD12)+(AD13-1)+(5-AD14)+(AD15-1)+(5-AD16)</f>
        <v>17</v>
      </c>
      <c r="AE19" s="71" t="n">
        <f aca="false">(AE7-1)+(5-AE8)+(AE9-1)+(5-AE10)+(AE11-1)+(5-AE12)+(AE13-1)+(5-AE14)+(AE15-1)+(5-AE16)</f>
        <v>25</v>
      </c>
      <c r="AF19" s="71" t="n">
        <f aca="false">(AF7-1)+(5-AF8)+(AF9-1)+(5-AF10)+(AF11-1)+(5-AF12)+(AF13-1)+(5-AF14)+(AF15-1)+(5-AF16)</f>
        <v>32</v>
      </c>
    </row>
    <row r="20" customFormat="false" ht="14.25" hidden="false" customHeight="true" outlineLevel="0" collapsed="false">
      <c r="A20" s="70" t="s">
        <v>407</v>
      </c>
      <c r="B20" s="70"/>
      <c r="C20" s="31" t="n">
        <f aca="false">C19*2.5</f>
        <v>57.5</v>
      </c>
      <c r="D20" s="31" t="n">
        <f aca="false">D19*2.5</f>
        <v>50</v>
      </c>
      <c r="E20" s="31" t="n">
        <f aca="false">E19*2.5</f>
        <v>67.5</v>
      </c>
      <c r="F20" s="31" t="n">
        <f aca="false">F19*2.5</f>
        <v>35</v>
      </c>
      <c r="G20" s="31" t="n">
        <f aca="false">G19*2.5</f>
        <v>30</v>
      </c>
      <c r="H20" s="31" t="n">
        <f aca="false">H19*2.5</f>
        <v>60</v>
      </c>
      <c r="I20" s="31" t="n">
        <f aca="false">I19*2.5</f>
        <v>30</v>
      </c>
      <c r="J20" s="31" t="n">
        <f aca="false">J19*2.5</f>
        <v>55</v>
      </c>
      <c r="K20" s="31" t="n">
        <f aca="false">K19*2.5</f>
        <v>67.5</v>
      </c>
      <c r="L20" s="31" t="n">
        <f aca="false">L19*2.5</f>
        <v>47.5</v>
      </c>
      <c r="M20" s="31" t="n">
        <f aca="false">M19*2.5</f>
        <v>67.5</v>
      </c>
      <c r="N20" s="31" t="n">
        <f aca="false">N19*2.5</f>
        <v>47.5</v>
      </c>
      <c r="O20" s="31" t="n">
        <f aca="false">O19*2.5</f>
        <v>37.5</v>
      </c>
      <c r="P20" s="31" t="n">
        <f aca="false">P19*2.5</f>
        <v>32.5</v>
      </c>
      <c r="Q20" s="31" t="n">
        <f aca="false">Q19*2.5</f>
        <v>57.5</v>
      </c>
      <c r="R20" s="31" t="n">
        <f aca="false">R19*2.5</f>
        <v>57.5</v>
      </c>
      <c r="S20" s="31" t="n">
        <f aca="false">S19*2.5</f>
        <v>42.5</v>
      </c>
      <c r="T20" s="31" t="n">
        <f aca="false">T19*2.5</f>
        <v>62.5</v>
      </c>
      <c r="U20" s="31" t="n">
        <f aca="false">U19*2.5</f>
        <v>52.5</v>
      </c>
      <c r="V20" s="31" t="n">
        <f aca="false">V19*2.5</f>
        <v>50</v>
      </c>
      <c r="W20" s="31" t="n">
        <f aca="false">W19*2.5</f>
        <v>45</v>
      </c>
      <c r="X20" s="31" t="n">
        <f aca="false">X19*2.5</f>
        <v>50</v>
      </c>
      <c r="Y20" s="31" t="n">
        <f aca="false">Y19*2.5</f>
        <v>40</v>
      </c>
      <c r="Z20" s="31" t="n">
        <f aca="false">Z19*2.5</f>
        <v>25</v>
      </c>
      <c r="AA20" s="31" t="n">
        <f aca="false">AA19*2.5</f>
        <v>50</v>
      </c>
      <c r="AB20" s="31" t="n">
        <f aca="false">AB19*2.5</f>
        <v>60</v>
      </c>
      <c r="AC20" s="31" t="n">
        <f aca="false">AC19*2.5</f>
        <v>72.5</v>
      </c>
      <c r="AD20" s="31" t="n">
        <f aca="false">AD19*2.5</f>
        <v>42.5</v>
      </c>
      <c r="AE20" s="31" t="n">
        <f aca="false">AE19*2.5</f>
        <v>62.5</v>
      </c>
      <c r="AF20" s="31" t="n">
        <f aca="false">AF19*2.5</f>
        <v>80</v>
      </c>
    </row>
    <row r="22" customFormat="false" ht="14.25" hidden="false" customHeight="true" outlineLevel="0" collapsed="false">
      <c r="A22" s="33" t="s">
        <v>408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4" t="n">
        <f aca="false">AVERAGE(C20:AF20)</f>
        <v>51.1666666666667</v>
      </c>
    </row>
    <row r="23" customFormat="false" ht="64.5" hidden="false" customHeight="true" outlineLevel="0" collapsed="false">
      <c r="A23" s="33" t="s">
        <v>409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5" t="str">
        <f aca="false">IF(AG22&gt;=84.1,"Acceptable — Grade A+ (Best Imaginable)",IF(AG22&gt;=80.3,"Acceptable — Grade A (Excellent)",IF(AG22&gt;=68,"Acceptable — Grade B/C (Good)",IF(AG22&gt;=51,"Marginal — Grade D (OK)","Not Acceptable — Grade F (Poor)"))))</f>
        <v>Marginal — Grade D (OK)</v>
      </c>
    </row>
    <row r="25" customFormat="false" ht="14.25" hidden="false" customHeight="true" outlineLevel="0" collapsed="false">
      <c r="A25" s="69" t="s">
        <v>410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</row>
  </sheetData>
  <mergeCells count="10">
    <mergeCell ref="A1:AL1"/>
    <mergeCell ref="A2:AL2"/>
    <mergeCell ref="A3:AL3"/>
    <mergeCell ref="A6:AL6"/>
    <mergeCell ref="A18:AL18"/>
    <mergeCell ref="A19:B19"/>
    <mergeCell ref="A20:B20"/>
    <mergeCell ref="A22:AF22"/>
    <mergeCell ref="A23:AF23"/>
    <mergeCell ref="A25:A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6.54"/>
    <col collapsed="false" customWidth="true" hidden="false" outlineLevel="0" max="12" min="12" style="1" width="8"/>
    <col collapsed="false" customWidth="true" hidden="false" outlineLevel="0" max="13" min="13" style="1" width="16"/>
  </cols>
  <sheetData>
    <row r="1" customFormat="false" ht="14.25" hidden="false" customHeight="true" outlineLevel="0" collapsed="false">
      <c r="A1" s="2" t="s">
        <v>0</v>
      </c>
    </row>
    <row r="2" customFormat="false" ht="14.25" hidden="false" customHeight="true" outlineLevel="0" collapsed="false">
      <c r="A2" s="52" t="s">
        <v>411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customFormat="false" ht="14.25" hidden="false" customHeight="true" outlineLevel="0" collapsed="false">
      <c r="A3" s="63" t="s">
        <v>168</v>
      </c>
      <c r="B3" s="72" t="s">
        <v>313</v>
      </c>
      <c r="C3" s="72"/>
      <c r="D3" s="72" t="s">
        <v>314</v>
      </c>
      <c r="E3" s="72"/>
      <c r="F3" s="72" t="s">
        <v>315</v>
      </c>
      <c r="G3" s="72"/>
      <c r="H3" s="72" t="s">
        <v>316</v>
      </c>
      <c r="I3" s="72"/>
      <c r="J3" s="72" t="s">
        <v>317</v>
      </c>
      <c r="K3" s="72"/>
      <c r="L3" s="63" t="s">
        <v>393</v>
      </c>
      <c r="M3" s="63" t="s">
        <v>19</v>
      </c>
    </row>
    <row r="4" customFormat="false" ht="14.25" hidden="false" customHeight="true" outlineLevel="0" collapsed="false">
      <c r="A4" s="63"/>
      <c r="B4" s="73" t="s">
        <v>272</v>
      </c>
      <c r="C4" s="73" t="s">
        <v>273</v>
      </c>
      <c r="D4" s="73" t="s">
        <v>272</v>
      </c>
      <c r="E4" s="73" t="s">
        <v>273</v>
      </c>
      <c r="F4" s="73" t="s">
        <v>272</v>
      </c>
      <c r="G4" s="73" t="s">
        <v>273</v>
      </c>
      <c r="H4" s="73" t="s">
        <v>272</v>
      </c>
      <c r="I4" s="73" t="s">
        <v>273</v>
      </c>
      <c r="J4" s="73" t="s">
        <v>272</v>
      </c>
      <c r="K4" s="73" t="s">
        <v>273</v>
      </c>
      <c r="L4" s="63"/>
      <c r="M4" s="63"/>
    </row>
    <row r="5" customFormat="false" ht="14.25" hidden="false" customHeight="true" outlineLevel="0" collapsed="false">
      <c r="A5" s="58" t="s">
        <v>395</v>
      </c>
      <c r="B5" s="58" t="n">
        <f aca="false">'SUS - End-Users'!AH7</f>
        <v>6</v>
      </c>
      <c r="C5" s="59" t="n">
        <f aca="false">'SUS - End-Users'!AH7/COUNT('SUS - End-Users'!$C7:$AF7)</f>
        <v>0.2</v>
      </c>
      <c r="D5" s="58" t="n">
        <f aca="false">'SUS - End-Users'!AI7</f>
        <v>6</v>
      </c>
      <c r="E5" s="59" t="n">
        <f aca="false">'SUS - End-Users'!AI7/COUNT('SUS - End-Users'!$C7:$AF7)</f>
        <v>0.2</v>
      </c>
      <c r="F5" s="58" t="n">
        <f aca="false">'SUS - End-Users'!AJ7</f>
        <v>5</v>
      </c>
      <c r="G5" s="59" t="n">
        <f aca="false">'SUS - End-Users'!AJ7/COUNT('SUS - End-Users'!$C7:$AF7)</f>
        <v>0.166666666666667</v>
      </c>
      <c r="H5" s="58" t="n">
        <f aca="false">'SUS - End-Users'!AK7</f>
        <v>4</v>
      </c>
      <c r="I5" s="59" t="n">
        <f aca="false">'SUS - End-Users'!AK7/COUNT('SUS - End-Users'!$C7:$AF7)</f>
        <v>0.133333333333333</v>
      </c>
      <c r="J5" s="58" t="n">
        <f aca="false">'SUS - End-Users'!AL7</f>
        <v>9</v>
      </c>
      <c r="K5" s="59" t="n">
        <f aca="false">'SUS - End-Users'!AL7/COUNT('SUS - End-Users'!$C7:$AF7)</f>
        <v>0.3</v>
      </c>
      <c r="L5" s="60" t="n">
        <f aca="false">'SUS - End-Users'!AG7</f>
        <v>2.86666666666667</v>
      </c>
      <c r="M5" s="58" t="str">
        <f aca="false">IF('SUS - End-Users'!AG7&gt;=4.21,"Strongly Agree",IF('SUS - End-Users'!AG7&gt;=3.41,"Agree",IF('SUS - End-Users'!AG7&gt;=2.61,"Neutral",IF('SUS - End-Users'!AG7&gt;=1.81,"Disagree","Strongly Disagree"))))</f>
        <v>Neutral</v>
      </c>
    </row>
    <row r="6" customFormat="false" ht="14.25" hidden="false" customHeight="true" outlineLevel="0" collapsed="false">
      <c r="A6" s="58" t="s">
        <v>396</v>
      </c>
      <c r="B6" s="58" t="n">
        <f aca="false">'SUS - End-Users'!AH8</f>
        <v>3</v>
      </c>
      <c r="C6" s="59" t="n">
        <f aca="false">'SUS - End-Users'!AH8/COUNT('SUS - End-Users'!$C8:$AF8)</f>
        <v>0.1</v>
      </c>
      <c r="D6" s="58" t="n">
        <f aca="false">'SUS - End-Users'!AI8</f>
        <v>9</v>
      </c>
      <c r="E6" s="59" t="n">
        <f aca="false">'SUS - End-Users'!AI8/COUNT('SUS - End-Users'!$C8:$AF8)</f>
        <v>0.3</v>
      </c>
      <c r="F6" s="58" t="n">
        <f aca="false">'SUS - End-Users'!AJ8</f>
        <v>6</v>
      </c>
      <c r="G6" s="59" t="n">
        <f aca="false">'SUS - End-Users'!AJ8/COUNT('SUS - End-Users'!$C8:$AF8)</f>
        <v>0.2</v>
      </c>
      <c r="H6" s="58" t="n">
        <f aca="false">'SUS - End-Users'!AK8</f>
        <v>4</v>
      </c>
      <c r="I6" s="59" t="n">
        <f aca="false">'SUS - End-Users'!AK8/COUNT('SUS - End-Users'!$C8:$AF8)</f>
        <v>0.133333333333333</v>
      </c>
      <c r="J6" s="58" t="n">
        <f aca="false">'SUS - End-Users'!AL8</f>
        <v>8</v>
      </c>
      <c r="K6" s="59" t="n">
        <f aca="false">'SUS - End-Users'!AL8/COUNT('SUS - End-Users'!$C8:$AF8)</f>
        <v>0.266666666666667</v>
      </c>
      <c r="L6" s="60" t="n">
        <f aca="false">'SUS - End-Users'!AG8</f>
        <v>2.83333333333333</v>
      </c>
      <c r="M6" s="58" t="str">
        <f aca="false">IF('SUS - End-Users'!AG8&gt;=4.21,"Strongly Agree",IF('SUS - End-Users'!AG8&gt;=3.41,"Agree",IF('SUS - End-Users'!AG8&gt;=2.61,"Neutral",IF('SUS - End-Users'!AG8&gt;=1.81,"Disagree","Strongly Disagree"))))</f>
        <v>Neutral</v>
      </c>
    </row>
    <row r="7" customFormat="false" ht="14.25" hidden="false" customHeight="true" outlineLevel="0" collapsed="false">
      <c r="A7" s="58" t="s">
        <v>397</v>
      </c>
      <c r="B7" s="58" t="n">
        <f aca="false">'SUS - End-Users'!AH9</f>
        <v>9</v>
      </c>
      <c r="C7" s="59" t="n">
        <f aca="false">'SUS - End-Users'!AH9/COUNT('SUS - End-Users'!$C9:$AF9)</f>
        <v>0.3</v>
      </c>
      <c r="D7" s="58" t="n">
        <f aca="false">'SUS - End-Users'!AI9</f>
        <v>5</v>
      </c>
      <c r="E7" s="59" t="n">
        <f aca="false">'SUS - End-Users'!AI9/COUNT('SUS - End-Users'!$C9:$AF9)</f>
        <v>0.166666666666667</v>
      </c>
      <c r="F7" s="58" t="n">
        <f aca="false">'SUS - End-Users'!AJ9</f>
        <v>3</v>
      </c>
      <c r="G7" s="59" t="n">
        <f aca="false">'SUS - End-Users'!AJ9/COUNT('SUS - End-Users'!$C9:$AF9)</f>
        <v>0.1</v>
      </c>
      <c r="H7" s="58" t="n">
        <f aca="false">'SUS - End-Users'!AK9</f>
        <v>8</v>
      </c>
      <c r="I7" s="59" t="n">
        <f aca="false">'SUS - End-Users'!AK9/COUNT('SUS - End-Users'!$C9:$AF9)</f>
        <v>0.266666666666667</v>
      </c>
      <c r="J7" s="58" t="n">
        <f aca="false">'SUS - End-Users'!AL9</f>
        <v>5</v>
      </c>
      <c r="K7" s="59" t="n">
        <f aca="false">'SUS - End-Users'!AL9/COUNT('SUS - End-Users'!$C9:$AF9)</f>
        <v>0.166666666666667</v>
      </c>
      <c r="L7" s="60" t="n">
        <f aca="false">'SUS - End-Users'!AG9</f>
        <v>3.16666666666667</v>
      </c>
      <c r="M7" s="58" t="str">
        <f aca="false">IF('SUS - End-Users'!AG9&gt;=4.21,"Strongly Agree",IF('SUS - End-Users'!AG9&gt;=3.41,"Agree",IF('SUS - End-Users'!AG9&gt;=2.61,"Neutral",IF('SUS - End-Users'!AG9&gt;=1.81,"Disagree","Strongly Disagree"))))</f>
        <v>Neutral</v>
      </c>
    </row>
    <row r="8" customFormat="false" ht="14.25" hidden="false" customHeight="true" outlineLevel="0" collapsed="false">
      <c r="A8" s="58" t="s">
        <v>398</v>
      </c>
      <c r="B8" s="58" t="n">
        <f aca="false">'SUS - End-Users'!AH10</f>
        <v>8</v>
      </c>
      <c r="C8" s="59" t="n">
        <f aca="false">'SUS - End-Users'!AH10/COUNT('SUS - End-Users'!$C10:$AF10)</f>
        <v>0.266666666666667</v>
      </c>
      <c r="D8" s="58" t="n">
        <f aca="false">'SUS - End-Users'!AI10</f>
        <v>4</v>
      </c>
      <c r="E8" s="59" t="n">
        <f aca="false">'SUS - End-Users'!AI10/COUNT('SUS - End-Users'!$C10:$AF10)</f>
        <v>0.133333333333333</v>
      </c>
      <c r="F8" s="58" t="n">
        <f aca="false">'SUS - End-Users'!AJ10</f>
        <v>6</v>
      </c>
      <c r="G8" s="59" t="n">
        <f aca="false">'SUS - End-Users'!AJ10/COUNT('SUS - End-Users'!$C10:$AF10)</f>
        <v>0.2</v>
      </c>
      <c r="H8" s="58" t="n">
        <f aca="false">'SUS - End-Users'!AK10</f>
        <v>8</v>
      </c>
      <c r="I8" s="59" t="n">
        <f aca="false">'SUS - End-Users'!AK10/COUNT('SUS - End-Users'!$C10:$AF10)</f>
        <v>0.266666666666667</v>
      </c>
      <c r="J8" s="58" t="n">
        <f aca="false">'SUS - End-Users'!AL10</f>
        <v>4</v>
      </c>
      <c r="K8" s="59" t="n">
        <f aca="false">'SUS - End-Users'!AL10/COUNT('SUS - End-Users'!$C10:$AF10)</f>
        <v>0.133333333333333</v>
      </c>
      <c r="L8" s="60" t="n">
        <f aca="false">'SUS - End-Users'!AG10</f>
        <v>3.13333333333333</v>
      </c>
      <c r="M8" s="58" t="str">
        <f aca="false">IF('SUS - End-Users'!AG10&gt;=4.21,"Strongly Agree",IF('SUS - End-Users'!AG10&gt;=3.41,"Agree",IF('SUS - End-Users'!AG10&gt;=2.61,"Neutral",IF('SUS - End-Users'!AG10&gt;=1.81,"Disagree","Strongly Disagree"))))</f>
        <v>Neutral</v>
      </c>
    </row>
    <row r="9" customFormat="false" ht="14.25" hidden="false" customHeight="true" outlineLevel="0" collapsed="false">
      <c r="A9" s="58" t="s">
        <v>399</v>
      </c>
      <c r="B9" s="58" t="n">
        <f aca="false">'SUS - End-Users'!AH11</f>
        <v>12</v>
      </c>
      <c r="C9" s="59" t="n">
        <f aca="false">'SUS - End-Users'!AH11/COUNT('SUS - End-Users'!$C11:$AF11)</f>
        <v>0.4</v>
      </c>
      <c r="D9" s="58" t="n">
        <f aca="false">'SUS - End-Users'!AI11</f>
        <v>4</v>
      </c>
      <c r="E9" s="59" t="n">
        <f aca="false">'SUS - End-Users'!AI11/COUNT('SUS - End-Users'!$C11:$AF11)</f>
        <v>0.133333333333333</v>
      </c>
      <c r="F9" s="58" t="n">
        <f aca="false">'SUS - End-Users'!AJ11</f>
        <v>7</v>
      </c>
      <c r="G9" s="59" t="n">
        <f aca="false">'SUS - End-Users'!AJ11/COUNT('SUS - End-Users'!$C11:$AF11)</f>
        <v>0.233333333333333</v>
      </c>
      <c r="H9" s="58" t="n">
        <f aca="false">'SUS - End-Users'!AK11</f>
        <v>3</v>
      </c>
      <c r="I9" s="59" t="n">
        <f aca="false">'SUS - End-Users'!AK11/COUNT('SUS - End-Users'!$C11:$AF11)</f>
        <v>0.1</v>
      </c>
      <c r="J9" s="58" t="n">
        <f aca="false">'SUS - End-Users'!AL11</f>
        <v>4</v>
      </c>
      <c r="K9" s="59" t="n">
        <f aca="false">'SUS - End-Users'!AL11/COUNT('SUS - End-Users'!$C11:$AF11)</f>
        <v>0.133333333333333</v>
      </c>
      <c r="L9" s="60" t="n">
        <f aca="false">'SUS - End-Users'!AG11</f>
        <v>3.56666666666667</v>
      </c>
      <c r="M9" s="58" t="str">
        <f aca="false">IF('SUS - End-Users'!AG11&gt;=4.21,"Strongly Agree",IF('SUS - End-Users'!AG11&gt;=3.41,"Agree",IF('SUS - End-Users'!AG11&gt;=2.61,"Neutral",IF('SUS - End-Users'!AG11&gt;=1.81,"Disagree","Strongly Disagree"))))</f>
        <v>Agree</v>
      </c>
    </row>
    <row r="10" customFormat="false" ht="14.25" hidden="false" customHeight="true" outlineLevel="0" collapsed="false">
      <c r="A10" s="58" t="s">
        <v>400</v>
      </c>
      <c r="B10" s="58" t="n">
        <f aca="false">'SUS - End-Users'!AH12</f>
        <v>9</v>
      </c>
      <c r="C10" s="59" t="n">
        <f aca="false">'SUS - End-Users'!AH12/COUNT('SUS - End-Users'!$C12:$AF12)</f>
        <v>0.3</v>
      </c>
      <c r="D10" s="58" t="n">
        <f aca="false">'SUS - End-Users'!AI12</f>
        <v>7</v>
      </c>
      <c r="E10" s="59" t="n">
        <f aca="false">'SUS - End-Users'!AI12/COUNT('SUS - End-Users'!$C12:$AF12)</f>
        <v>0.233333333333333</v>
      </c>
      <c r="F10" s="58" t="n">
        <f aca="false">'SUS - End-Users'!AJ12</f>
        <v>4</v>
      </c>
      <c r="G10" s="59" t="n">
        <f aca="false">'SUS - End-Users'!AJ12/COUNT('SUS - End-Users'!$C12:$AF12)</f>
        <v>0.133333333333333</v>
      </c>
      <c r="H10" s="58" t="n">
        <f aca="false">'SUS - End-Users'!AK12</f>
        <v>5</v>
      </c>
      <c r="I10" s="59" t="n">
        <f aca="false">'SUS - End-Users'!AK12/COUNT('SUS - End-Users'!$C12:$AF12)</f>
        <v>0.166666666666667</v>
      </c>
      <c r="J10" s="58" t="n">
        <f aca="false">'SUS - End-Users'!AL12</f>
        <v>5</v>
      </c>
      <c r="K10" s="59" t="n">
        <f aca="false">'SUS - End-Users'!AL12/COUNT('SUS - End-Users'!$C12:$AF12)</f>
        <v>0.166666666666667</v>
      </c>
      <c r="L10" s="60" t="n">
        <f aca="false">'SUS - End-Users'!AG12</f>
        <v>3.33333333333333</v>
      </c>
      <c r="M10" s="58" t="str">
        <f aca="false">IF('SUS - End-Users'!AG12&gt;=4.21,"Strongly Agree",IF('SUS - End-Users'!AG12&gt;=3.41,"Agree",IF('SUS - End-Users'!AG12&gt;=2.61,"Neutral",IF('SUS - End-Users'!AG12&gt;=1.81,"Disagree","Strongly Disagree"))))</f>
        <v>Neutral</v>
      </c>
    </row>
    <row r="11" customFormat="false" ht="14.25" hidden="false" customHeight="true" outlineLevel="0" collapsed="false">
      <c r="A11" s="58" t="s">
        <v>401</v>
      </c>
      <c r="B11" s="58" t="n">
        <f aca="false">'SUS - End-Users'!AH13</f>
        <v>6</v>
      </c>
      <c r="C11" s="59" t="n">
        <f aca="false">'SUS - End-Users'!AH13/COUNT('SUS - End-Users'!$C13:$AF13)</f>
        <v>0.2</v>
      </c>
      <c r="D11" s="58" t="n">
        <f aca="false">'SUS - End-Users'!AI13</f>
        <v>8</v>
      </c>
      <c r="E11" s="59" t="n">
        <f aca="false">'SUS - End-Users'!AI13/COUNT('SUS - End-Users'!$C13:$AF13)</f>
        <v>0.266666666666667</v>
      </c>
      <c r="F11" s="58" t="n">
        <f aca="false">'SUS - End-Users'!AJ13</f>
        <v>3</v>
      </c>
      <c r="G11" s="59" t="n">
        <f aca="false">'SUS - End-Users'!AJ13/COUNT('SUS - End-Users'!$C13:$AF13)</f>
        <v>0.1</v>
      </c>
      <c r="H11" s="58" t="n">
        <f aca="false">'SUS - End-Users'!AK13</f>
        <v>7</v>
      </c>
      <c r="I11" s="59" t="n">
        <f aca="false">'SUS - End-Users'!AK13/COUNT('SUS - End-Users'!$C13:$AF13)</f>
        <v>0.233333333333333</v>
      </c>
      <c r="J11" s="58" t="n">
        <f aca="false">'SUS - End-Users'!AL13</f>
        <v>6</v>
      </c>
      <c r="K11" s="59" t="n">
        <f aca="false">'SUS - End-Users'!AL13/COUNT('SUS - End-Users'!$C13:$AF13)</f>
        <v>0.2</v>
      </c>
      <c r="L11" s="60" t="n">
        <f aca="false">'SUS - End-Users'!AG13</f>
        <v>3.03333333333333</v>
      </c>
      <c r="M11" s="58" t="str">
        <f aca="false">IF('SUS - End-Users'!AG13&gt;=4.21,"Strongly Agree",IF('SUS - End-Users'!AG13&gt;=3.41,"Agree",IF('SUS - End-Users'!AG13&gt;=2.61,"Neutral",IF('SUS - End-Users'!AG13&gt;=1.81,"Disagree","Strongly Disagree"))))</f>
        <v>Neutral</v>
      </c>
    </row>
    <row r="12" customFormat="false" ht="14.25" hidden="false" customHeight="true" outlineLevel="0" collapsed="false">
      <c r="A12" s="58" t="s">
        <v>402</v>
      </c>
      <c r="B12" s="58" t="n">
        <f aca="false">'SUS - End-Users'!AH14</f>
        <v>5</v>
      </c>
      <c r="C12" s="59" t="n">
        <f aca="false">'SUS - End-Users'!AH14/COUNT('SUS - End-Users'!$C14:$AF14)</f>
        <v>0.166666666666667</v>
      </c>
      <c r="D12" s="58" t="n">
        <f aca="false">'SUS - End-Users'!AI14</f>
        <v>6</v>
      </c>
      <c r="E12" s="59" t="n">
        <f aca="false">'SUS - End-Users'!AI14/COUNT('SUS - End-Users'!$C14:$AF14)</f>
        <v>0.2</v>
      </c>
      <c r="F12" s="58" t="n">
        <f aca="false">'SUS - End-Users'!AJ14</f>
        <v>8</v>
      </c>
      <c r="G12" s="59" t="n">
        <f aca="false">'SUS - End-Users'!AJ14/COUNT('SUS - End-Users'!$C14:$AF14)</f>
        <v>0.266666666666667</v>
      </c>
      <c r="H12" s="58" t="n">
        <f aca="false">'SUS - End-Users'!AK14</f>
        <v>3</v>
      </c>
      <c r="I12" s="59" t="n">
        <f aca="false">'SUS - End-Users'!AK14/COUNT('SUS - End-Users'!$C14:$AF14)</f>
        <v>0.1</v>
      </c>
      <c r="J12" s="58" t="n">
        <f aca="false">'SUS - End-Users'!AL14</f>
        <v>8</v>
      </c>
      <c r="K12" s="59" t="n">
        <f aca="false">'SUS - End-Users'!AL14/COUNT('SUS - End-Users'!$C14:$AF14)</f>
        <v>0.266666666666667</v>
      </c>
      <c r="L12" s="60" t="n">
        <f aca="false">'SUS - End-Users'!AG14</f>
        <v>2.9</v>
      </c>
      <c r="M12" s="58" t="str">
        <f aca="false">IF('SUS - End-Users'!AG14&gt;=4.21,"Strongly Agree",IF('SUS - End-Users'!AG14&gt;=3.41,"Agree",IF('SUS - End-Users'!AG14&gt;=2.61,"Neutral",IF('SUS - End-Users'!AG14&gt;=1.81,"Disagree","Strongly Disagree"))))</f>
        <v>Neutral</v>
      </c>
    </row>
    <row r="13" customFormat="false" ht="14.25" hidden="false" customHeight="true" outlineLevel="0" collapsed="false">
      <c r="A13" s="58" t="s">
        <v>403</v>
      </c>
      <c r="B13" s="58" t="n">
        <f aca="false">'SUS - End-Users'!AH15</f>
        <v>4</v>
      </c>
      <c r="C13" s="59" t="n">
        <f aca="false">'SUS - End-Users'!AH15/COUNT('SUS - End-Users'!$C15:$AF15)</f>
        <v>0.133333333333333</v>
      </c>
      <c r="D13" s="58" t="n">
        <f aca="false">'SUS - End-Users'!AI15</f>
        <v>10</v>
      </c>
      <c r="E13" s="59" t="n">
        <f aca="false">'SUS - End-Users'!AI15/COUNT('SUS - End-Users'!$C15:$AF15)</f>
        <v>0.333333333333333</v>
      </c>
      <c r="F13" s="58" t="n">
        <f aca="false">'SUS - End-Users'!AJ15</f>
        <v>2</v>
      </c>
      <c r="G13" s="59" t="n">
        <f aca="false">'SUS - End-Users'!AJ15/COUNT('SUS - End-Users'!$C15:$AF15)</f>
        <v>0.0666666666666667</v>
      </c>
      <c r="H13" s="58" t="n">
        <f aca="false">'SUS - End-Users'!AK15</f>
        <v>6</v>
      </c>
      <c r="I13" s="59" t="n">
        <f aca="false">'SUS - End-Users'!AK15/COUNT('SUS - End-Users'!$C15:$AF15)</f>
        <v>0.2</v>
      </c>
      <c r="J13" s="58" t="n">
        <f aca="false">'SUS - End-Users'!AL15</f>
        <v>8</v>
      </c>
      <c r="K13" s="59" t="n">
        <f aca="false">'SUS - End-Users'!AL15/COUNT('SUS - End-Users'!$C15:$AF15)</f>
        <v>0.266666666666667</v>
      </c>
      <c r="L13" s="60" t="n">
        <f aca="false">'SUS - End-Users'!AG15</f>
        <v>2.86666666666667</v>
      </c>
      <c r="M13" s="58" t="str">
        <f aca="false">IF('SUS - End-Users'!AG15&gt;=4.21,"Strongly Agree",IF('SUS - End-Users'!AG15&gt;=3.41,"Agree",IF('SUS - End-Users'!AG15&gt;=2.61,"Neutral",IF('SUS - End-Users'!AG15&gt;=1.81,"Disagree","Strongly Disagree"))))</f>
        <v>Neutral</v>
      </c>
    </row>
    <row r="14" customFormat="false" ht="14.25" hidden="false" customHeight="true" outlineLevel="0" collapsed="false">
      <c r="A14" s="74" t="s">
        <v>404</v>
      </c>
      <c r="B14" s="74" t="n">
        <f aca="false">'SUS - End-Users'!AH16</f>
        <v>4</v>
      </c>
      <c r="C14" s="75" t="n">
        <f aca="false">'SUS - End-Users'!AH16/COUNT('SUS - End-Users'!$C16:$AF16)</f>
        <v>0.133333333333333</v>
      </c>
      <c r="D14" s="74" t="n">
        <f aca="false">'SUS - End-Users'!AI16</f>
        <v>7</v>
      </c>
      <c r="E14" s="75" t="n">
        <f aca="false">'SUS - End-Users'!AI16/COUNT('SUS - End-Users'!$C16:$AF16)</f>
        <v>0.233333333333333</v>
      </c>
      <c r="F14" s="74" t="n">
        <f aca="false">'SUS - End-Users'!AJ16</f>
        <v>7</v>
      </c>
      <c r="G14" s="75" t="n">
        <f aca="false">'SUS - End-Users'!AJ16/COUNT('SUS - End-Users'!$C16:$AF16)</f>
        <v>0.233333333333333</v>
      </c>
      <c r="H14" s="74" t="n">
        <f aca="false">'SUS - End-Users'!AK16</f>
        <v>4</v>
      </c>
      <c r="I14" s="75" t="n">
        <f aca="false">'SUS - End-Users'!AK16/COUNT('SUS - End-Users'!$C16:$AF16)</f>
        <v>0.133333333333333</v>
      </c>
      <c r="J14" s="74" t="n">
        <f aca="false">'SUS - End-Users'!AL16</f>
        <v>8</v>
      </c>
      <c r="K14" s="75" t="n">
        <f aca="false">'SUS - End-Users'!AL16/COUNT('SUS - End-Users'!$C16:$AF16)</f>
        <v>0.266666666666667</v>
      </c>
      <c r="L14" s="76" t="n">
        <f aca="false">'SUS - End-Users'!AG16</f>
        <v>2.83333333333333</v>
      </c>
      <c r="M14" s="74" t="str">
        <f aca="false">IF('SUS - End-Users'!AG16&gt;=4.21,"Strongly Agree",IF('SUS - End-Users'!AG16&gt;=3.41,"Agree",IF('SUS - End-Users'!AG16&gt;=2.61,"Neutral",IF('SUS - End-Users'!AG16&gt;=1.81,"Disagree","Strongly Disagree"))))</f>
        <v>Neutral</v>
      </c>
    </row>
    <row r="15" customFormat="false" ht="14.25" hidden="false" customHeight="true" outlineLevel="0" collapsed="false">
      <c r="A15" s="77" t="s">
        <v>412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</row>
    <row r="18" customFormat="false" ht="14.25" hidden="false" customHeight="true" outlineLevel="0" collapsed="false">
      <c r="A18" s="2" t="s">
        <v>276</v>
      </c>
    </row>
    <row r="19" customFormat="false" ht="14.25" hidden="false" customHeight="true" outlineLevel="0" collapsed="false">
      <c r="A19" s="52" t="s">
        <v>413</v>
      </c>
      <c r="B19" s="52"/>
      <c r="C19" s="52"/>
    </row>
    <row r="20" customFormat="false" ht="14.25" hidden="false" customHeight="true" outlineLevel="0" collapsed="false">
      <c r="A20" s="72" t="s">
        <v>414</v>
      </c>
      <c r="B20" s="63" t="s">
        <v>415</v>
      </c>
      <c r="C20" s="63" t="s">
        <v>125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customFormat="false" ht="14.25" hidden="false" customHeight="true" outlineLevel="0" collapsed="false">
      <c r="A21" s="79" t="s">
        <v>416</v>
      </c>
      <c r="B21" s="80" t="n">
        <f aca="false">'SUS - End-Users'!AG22</f>
        <v>51.1666666666667</v>
      </c>
      <c r="C21" s="79" t="str">
        <f aca="false">'SUS - End-Users'!AG23</f>
        <v>Marginal — Grade D (OK)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</row>
    <row r="23" customFormat="false" ht="14.25" hidden="false" customHeight="true" outlineLevel="0" collapsed="false">
      <c r="A23" s="77" t="s">
        <v>417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</row>
  </sheetData>
  <mergeCells count="13">
    <mergeCell ref="A2:M2"/>
    <mergeCell ref="A3:A4"/>
    <mergeCell ref="B3:C3"/>
    <mergeCell ref="D3:E3"/>
    <mergeCell ref="F3:G3"/>
    <mergeCell ref="H3:I3"/>
    <mergeCell ref="J3:K3"/>
    <mergeCell ref="L3:L4"/>
    <mergeCell ref="M3:M4"/>
    <mergeCell ref="A15:M15"/>
    <mergeCell ref="A19:C19"/>
    <mergeCell ref="C21:M21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2026-09-04T23:29:18Z</dcterms:created>
  <dc:creator>openpyxl</dc:creator>
  <dc:description/>
  <dc:language>en-US</dc:language>
  <cp:lastModifiedBy>Cris Norman Olipas</cp:lastModifiedBy>
  <dcterms:modified xsi:type="dcterms:W3CDTF">2026-10-02T08:46:20Z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